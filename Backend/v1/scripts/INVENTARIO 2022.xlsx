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nardoC\Desktop\Escritorio\"/>
    </mc:Choice>
  </mc:AlternateContent>
  <xr:revisionPtr revIDLastSave="0" documentId="13_ncr:1_{69F0ED67-20AB-4456-96B8-447045C9D4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NTIDADES TOTALES" sheetId="2" r:id="rId1"/>
    <sheet name="Hoja1" sheetId="3" r:id="rId2"/>
  </sheets>
  <definedNames>
    <definedName name="_xlnm._FilterDatabase" localSheetId="0" hidden="1">'CANTIDADES TOTALES'!$A$1:$X$101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4" i="2" l="1"/>
  <c r="B132" i="2"/>
  <c r="G15" i="3"/>
  <c r="G14" i="3"/>
  <c r="B130" i="2"/>
  <c r="B131" i="2"/>
  <c r="B133" i="2"/>
  <c r="B135" i="2"/>
  <c r="B136" i="2"/>
  <c r="B137" i="2"/>
  <c r="B138" i="2"/>
  <c r="B139" i="2"/>
  <c r="B140" i="2"/>
  <c r="B141" i="2"/>
  <c r="B142" i="2"/>
  <c r="B143" i="2"/>
  <c r="B144" i="2"/>
  <c r="B12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09" i="2"/>
  <c r="B108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5" i="2"/>
  <c r="B76" i="2"/>
  <c r="B77" i="2"/>
  <c r="B78" i="2"/>
  <c r="B79" i="2"/>
  <c r="B80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3" i="2"/>
  <c r="B7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BernardoC</author>
  </authors>
  <commentList>
    <comment ref="K4" authorId="0" shapeId="0" xr:uid="{28A53C23-2DFA-4A4C-898E-608B516C7055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28/34</t>
        </r>
      </text>
    </comment>
    <comment ref="K6" authorId="0" shapeId="0" xr:uid="{009F078C-28E2-4812-A737-A262D976CAFA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N10</t>
        </r>
      </text>
    </comment>
    <comment ref="C12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VER EN OBRA</t>
        </r>
      </text>
    </comment>
    <comment ref="K17" authorId="0" shapeId="0" xr:uid="{8374BA18-AD44-4A74-A196-027E86505EC3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31/S/N</t>
        </r>
      </text>
    </comment>
    <comment ref="K18" authorId="0" shapeId="0" xr:uid="{7215902E-2DBD-4639-9468-5C8CA495B33B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C23" authorId="0" shapeId="0" xr:uid="{787347D6-42C2-4DD0-BCA3-97B56403949C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cantidad a verificar en terreno manuel flores</t>
        </r>
      </text>
    </comment>
    <comment ref="K53" authorId="0" shapeId="0" xr:uid="{80A21A93-9E6D-46EE-BB44-22CDEBBBE23B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N15/S/N</t>
        </r>
      </text>
    </comment>
    <comment ref="K67" authorId="0" shapeId="0" xr:uid="{B0B64F0A-B625-49F2-84F1-911B54A5C05F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K76" authorId="0" shapeId="0" xr:uid="{0DF30E44-380B-4569-9375-5FF4F39A517C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K78" authorId="0" shapeId="0" xr:uid="{97253410-BC3C-4064-950E-B172FC607A4D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C80" authorId="0" shapeId="0" xr:uid="{1F2AC431-05C9-4F6A-9B29-D7A8B7167EBE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SE CONTABILIZÓ SOPANDAS 2 MTS Y 2 MTS MIX</t>
        </r>
      </text>
    </comment>
    <comment ref="K95" authorId="0" shapeId="0" xr:uid="{4D06999B-709F-44B9-841A-5434DF5265D5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6/</t>
        </r>
      </text>
    </comment>
    <comment ref="K101" authorId="0" shapeId="0" xr:uid="{1F74E9D3-DCB6-473B-95EC-9770954CA898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6/S/N</t>
        </r>
      </text>
    </comment>
    <comment ref="K103" authorId="0" shapeId="0" xr:uid="{889F8EFD-8962-49EC-A280-6D73FE1C0A55}">
      <text>
        <r>
          <rPr>
            <b/>
            <sz val="9"/>
            <color indexed="81"/>
            <rFont val="Tahoma"/>
            <family val="2"/>
          </rPr>
          <t>BernardoC:</t>
        </r>
        <r>
          <rPr>
            <sz val="9"/>
            <color indexed="81"/>
            <rFont val="Tahoma"/>
            <family val="2"/>
          </rPr>
          <t xml:space="preserve">
S/N</t>
        </r>
      </text>
    </comment>
  </commentList>
</comments>
</file>

<file path=xl/sharedStrings.xml><?xml version="1.0" encoding="utf-8"?>
<sst xmlns="http://schemas.openxmlformats.org/spreadsheetml/2006/main" count="159" uniqueCount="158">
  <si>
    <t>AMOLADORA GRANDE</t>
  </si>
  <si>
    <t>ASPIRADORA</t>
  </si>
  <si>
    <t>BALANCINES ALUMINIO</t>
  </si>
  <si>
    <t>BOMBA SUMERGIBLE</t>
  </si>
  <si>
    <t>CALADORA</t>
  </si>
  <si>
    <t xml:space="preserve">CALEFONES </t>
  </si>
  <si>
    <t xml:space="preserve">CARRETILLAS </t>
  </si>
  <si>
    <t xml:space="preserve">CARRO 2 RUEDAS </t>
  </si>
  <si>
    <t>CARTELES CABALLETES</t>
  </si>
  <si>
    <t>CIRCULARES DE MANO</t>
  </si>
  <si>
    <t>CIRCULARES DE MESA MONOFASICA</t>
  </si>
  <si>
    <t>CIRCULARES DE MESA TRIFASICA</t>
  </si>
  <si>
    <t>CONTENEDOR 40 PIES</t>
  </si>
  <si>
    <t>CONTENEDOR 20 PIES</t>
  </si>
  <si>
    <t>CONTENEDOR VESTUARIO</t>
  </si>
  <si>
    <t>CONO REFLECTIVOS</t>
  </si>
  <si>
    <t>CONO DE ABRAHAMS</t>
  </si>
  <si>
    <t>CORTADORA DE HORMIGON</t>
  </si>
  <si>
    <t>DOBLADORA DE HIERRO</t>
  </si>
  <si>
    <t xml:space="preserve">ESCALERILLAS </t>
  </si>
  <si>
    <t xml:space="preserve">ESCALERILLAS CABEZALES </t>
  </si>
  <si>
    <t xml:space="preserve">ESCALERILLAS ESQUINA </t>
  </si>
  <si>
    <t>GARRAFA 3KG</t>
  </si>
  <si>
    <t xml:space="preserve">GARRAFA 13KG </t>
  </si>
  <si>
    <t>GENERADORES</t>
  </si>
  <si>
    <t>GRINFAS 6</t>
  </si>
  <si>
    <t>GRINFAS 8</t>
  </si>
  <si>
    <t>GRINFAS 10</t>
  </si>
  <si>
    <t>GRINFAS 12</t>
  </si>
  <si>
    <t>GRINFAS OTRAS</t>
  </si>
  <si>
    <t>GUINCHES DE CABALLETE MONOF</t>
  </si>
  <si>
    <t xml:space="preserve">GUINCHES DE PISO </t>
  </si>
  <si>
    <t xml:space="preserve">GUINCHE DE TORRE ELEVADA </t>
  </si>
  <si>
    <t xml:space="preserve">HIDROLAVADORA </t>
  </si>
  <si>
    <t>HELADERA</t>
  </si>
  <si>
    <t>HELICOPTERO</t>
  </si>
  <si>
    <t xml:space="preserve">HORMIGONERA MONOFASICA </t>
  </si>
  <si>
    <t>HORMIGONERA TRIFASICA</t>
  </si>
  <si>
    <t>LUSTRAPISO MONOFASICO</t>
  </si>
  <si>
    <t xml:space="preserve">MAQUINA DE MORCETA </t>
  </si>
  <si>
    <t>MARTILLO ELECTRICO</t>
  </si>
  <si>
    <t>MARTILLETA ELECTRICA</t>
  </si>
  <si>
    <t>MICROONDAS</t>
  </si>
  <si>
    <t>MODULOS DE ANDAMIO CORTOS</t>
  </si>
  <si>
    <t>MODULO DE ANDAMIO PEATONAL</t>
  </si>
  <si>
    <t xml:space="preserve">MORCETAS </t>
  </si>
  <si>
    <t>MOTOSIERRA</t>
  </si>
  <si>
    <t>PATA PATA</t>
  </si>
  <si>
    <t xml:space="preserve">PERFILES DE HIERRO ESCALERILLAS </t>
  </si>
  <si>
    <t xml:space="preserve">PESAS DE HORMIGON </t>
  </si>
  <si>
    <t>PISTOLA CLAVADORA</t>
  </si>
  <si>
    <t>PLANCHA VIBRADORA</t>
  </si>
  <si>
    <t>PROBETAS HORMIGON</t>
  </si>
  <si>
    <t>PUNTALES RECTOS 3MTS</t>
  </si>
  <si>
    <t>PUNTALES RECTOS 4MTS</t>
  </si>
  <si>
    <t>RADIO COMUNICADORAS</t>
  </si>
  <si>
    <t>ROTOPERCUTOR</t>
  </si>
  <si>
    <t>RUEDAS DE ANDAMIO (JUEGOS)</t>
  </si>
  <si>
    <t>SENSITIVA</t>
  </si>
  <si>
    <t xml:space="preserve">SOLDADORA </t>
  </si>
  <si>
    <t>SOPANDA 3 MTS</t>
  </si>
  <si>
    <t>SOPANDA 4 MTS</t>
  </si>
  <si>
    <t>PORTA SOPANDA 1,2</t>
  </si>
  <si>
    <t>PORTA SOPANDA 2,4</t>
  </si>
  <si>
    <t>TRIPODES</t>
  </si>
  <si>
    <t xml:space="preserve">TABLERO ELECTRICO </t>
  </si>
  <si>
    <t>TABLONES 2 A 2.50</t>
  </si>
  <si>
    <t>TABLONES 3 A 3.50</t>
  </si>
  <si>
    <t>TABLONES 4 A 4.50</t>
  </si>
  <si>
    <t>TABLONES 5 A 5.50</t>
  </si>
  <si>
    <t xml:space="preserve">TALADROS ELECTRICOS </t>
  </si>
  <si>
    <t xml:space="preserve">TERNOFUNSIONADORA </t>
  </si>
  <si>
    <t>TOLVA</t>
  </si>
  <si>
    <t>TROMPITOS</t>
  </si>
  <si>
    <t>TORRE GRUAS</t>
  </si>
  <si>
    <t xml:space="preserve">VIBRADOR </t>
  </si>
  <si>
    <t>NIVEL OPTICO</t>
  </si>
  <si>
    <t>CINTOS DE SEGURIDAD</t>
  </si>
  <si>
    <t>TOTALES</t>
  </si>
  <si>
    <t xml:space="preserve">AMOLADORA CHICA </t>
  </si>
  <si>
    <t>DEPOSITO</t>
  </si>
  <si>
    <t>ZAFFARONI</t>
  </si>
  <si>
    <t>BOMBA DE AGUA</t>
  </si>
  <si>
    <t>ESCALERA COLIZA METALICA</t>
  </si>
  <si>
    <t>GUINCHES DE CABALLETE TRIFASICO</t>
  </si>
  <si>
    <t>BOBCAT</t>
  </si>
  <si>
    <t>RETROEXCAVADORA</t>
  </si>
  <si>
    <t>LIJADORA DE BANDA</t>
  </si>
  <si>
    <t>EN REPARACIÓN</t>
  </si>
  <si>
    <t>ATORNILLADORA</t>
  </si>
  <si>
    <t>CORTADORA DE PLASMA</t>
  </si>
  <si>
    <t>PISTOLA DE CALOR</t>
  </si>
  <si>
    <t xml:space="preserve">BASCULANTES </t>
  </si>
  <si>
    <t>PUNTALES CABEZA LOCA</t>
  </si>
  <si>
    <t>PRETAMO</t>
  </si>
  <si>
    <t>PUNTALES RECTOS 3,5MTS</t>
  </si>
  <si>
    <t>TABLONES METALICOS 2,5MT</t>
  </si>
  <si>
    <t>TABLONES METALICOS 3,0MT</t>
  </si>
  <si>
    <t xml:space="preserve">SOPANDA 2 MTS </t>
  </si>
  <si>
    <t>SOPANDA 2 MTS MIX</t>
  </si>
  <si>
    <t>SOPANDA 3 MTS MIX</t>
  </si>
  <si>
    <t>SOPANDA 4 MTS MIX</t>
  </si>
  <si>
    <t>SOPORTE DOBLE SOPANDA</t>
  </si>
  <si>
    <t>MODULOS DE ANDAMIO 2.5MT</t>
  </si>
  <si>
    <t>MODULOS DE ANDAMIO 3.0MT</t>
  </si>
  <si>
    <t>NACIONAL</t>
  </si>
  <si>
    <t>EL GLOBO</t>
  </si>
  <si>
    <t>RENNER</t>
  </si>
  <si>
    <t>LIBERTAD</t>
  </si>
  <si>
    <t>TERRENO</t>
  </si>
  <si>
    <t>PARCIAL</t>
  </si>
  <si>
    <t>ROTO</t>
  </si>
  <si>
    <t>MUÑEQUILLAS</t>
  </si>
  <si>
    <t>AQUILES LANZA</t>
  </si>
  <si>
    <t>COMPRESOR AIRE</t>
  </si>
  <si>
    <t>TURBINA</t>
  </si>
  <si>
    <t>ESCALERAS ANDAMIOS</t>
  </si>
  <si>
    <t>CARMELO</t>
  </si>
  <si>
    <t>RISSI</t>
  </si>
  <si>
    <t>RAMON</t>
  </si>
  <si>
    <t>FRANCHINI</t>
  </si>
  <si>
    <t>BATIDOR</t>
  </si>
  <si>
    <t>PROYECTADORA HGON</t>
  </si>
  <si>
    <t>RIET</t>
  </si>
  <si>
    <t>EN BLANCO</t>
  </si>
  <si>
    <t>CRISTIAN LOPEZ</t>
  </si>
  <si>
    <t>MARCELO VELAZQUEZ</t>
  </si>
  <si>
    <t>REGLA VIBRATORIA</t>
  </si>
  <si>
    <t>SOPORTE MULTIPLE</t>
  </si>
  <si>
    <t>ESPADA 1MT</t>
  </si>
  <si>
    <t>BARANDA GUARDA CUERPO</t>
  </si>
  <si>
    <t>PLACA BASE TORNAPUNTA</t>
  </si>
  <si>
    <t>ACOPLE TORNAPUNTA</t>
  </si>
  <si>
    <t>TORNAPUNTA</t>
  </si>
  <si>
    <t>TUERCA PALOMILLA</t>
  </si>
  <si>
    <t>PLACA TUERCA PALOMILLA</t>
  </si>
  <si>
    <t xml:space="preserve">GRAMPA EXTENSIBLE </t>
  </si>
  <si>
    <t>PANEL 50X270</t>
  </si>
  <si>
    <t>PANEL 60X270</t>
  </si>
  <si>
    <t>PANEL 75X270</t>
  </si>
  <si>
    <t>PANEL 90X270</t>
  </si>
  <si>
    <t>GRAPA MANUAL</t>
  </si>
  <si>
    <t>ENGANCHE GRUA</t>
  </si>
  <si>
    <t>CONSOLA TRABAJO</t>
  </si>
  <si>
    <t>POSTE 120 EN13374</t>
  </si>
  <si>
    <t>ACCESORIO TAPE</t>
  </si>
  <si>
    <t>ANGULO EXTERIOR 270X110</t>
  </si>
  <si>
    <t>ESQUINERO 270X35X35</t>
  </si>
  <si>
    <t>ESPADA 2MT</t>
  </si>
  <si>
    <t>ESPADA 1 MT</t>
  </si>
  <si>
    <t>GUARDA CUERPO</t>
  </si>
  <si>
    <t>PANEL 60X150</t>
  </si>
  <si>
    <t>CARRO PARA GUINCHE</t>
  </si>
  <si>
    <t>ATADORA DE ALAMBRE</t>
  </si>
  <si>
    <t>PERCHA ISOPANEL</t>
  </si>
  <si>
    <t>PERCHA HIERROS</t>
  </si>
  <si>
    <t>MAQUINA DE PINTURA</t>
  </si>
  <si>
    <t>PLATAFORMA RECIBIDORA MATERIALES DE GRÚA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</si>
</sst>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 applyAlignment="1">
      <alignment horizontal="left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4"/>
  <sheetViews>
    <sheetView tabSelected="1" zoomScale="85" zoomScaleNormal="85" workbookViewId="0">
      <pane ySplit="1" topLeftCell="A2" activePane="bottomLeft" state="frozen"/>
      <selection pane="bottomLeft" activeCell="C148" sqref="C148"/>
    </sheetView>
  </sheetViews>
  <sheetFormatPr baseColWidth="10" defaultRowHeight="15.75" customHeight="1" x14ac:dyDescent="0.25"/>
  <cols>
    <col min="1" max="2" width="11.42578125" style="8"/>
    <col min="3" max="3" width="58.7109375" style="10" customWidth="1"/>
    <col min="4" max="4" width="15" style="5" customWidth="1"/>
    <col min="5" max="5" width="12.7109375" style="5" customWidth="1"/>
    <col min="6" max="8" width="11.42578125" style="5" customWidth="1"/>
    <col min="9" max="9" width="19.5703125" style="5" customWidth="1"/>
    <col min="10" max="10" width="24.85546875" style="5" customWidth="1"/>
    <col min="11" max="11" width="19.28515625" style="5" customWidth="1"/>
    <col min="12" max="12" width="11.42578125" style="5" hidden="1" customWidth="1"/>
    <col min="13" max="13" width="11.140625" style="5" hidden="1" customWidth="1"/>
    <col min="14" max="17" width="11.42578125" style="5" hidden="1" customWidth="1"/>
    <col min="18" max="18" width="15.42578125" style="5" hidden="1" customWidth="1"/>
    <col min="19" max="19" width="11.42578125" style="5" hidden="1" customWidth="1"/>
    <col min="20" max="20" width="13.28515625" style="5" customWidth="1"/>
    <col min="21" max="22" width="11.42578125" style="5"/>
    <col min="23" max="23" width="22.42578125" style="5" bestFit="1" customWidth="1"/>
    <col min="24" max="24" width="15.42578125" style="5" bestFit="1" customWidth="1"/>
    <col min="25" max="16384" width="11.42578125" style="10"/>
  </cols>
  <sheetData>
    <row r="1" spans="1:25" ht="15.75" customHeight="1" x14ac:dyDescent="0.25">
      <c r="D1" s="5" t="s">
        <v>105</v>
      </c>
      <c r="E1" s="5" t="s">
        <v>123</v>
      </c>
      <c r="F1" s="6" t="s">
        <v>106</v>
      </c>
      <c r="G1" s="7" t="s">
        <v>124</v>
      </c>
      <c r="H1" s="5" t="s">
        <v>107</v>
      </c>
      <c r="I1" s="5" t="s">
        <v>125</v>
      </c>
      <c r="J1" s="5" t="s">
        <v>126</v>
      </c>
      <c r="K1" s="5" t="s">
        <v>113</v>
      </c>
      <c r="L1" s="5" t="s">
        <v>81</v>
      </c>
      <c r="M1" s="5" t="s">
        <v>108</v>
      </c>
      <c r="N1" s="5" t="s">
        <v>109</v>
      </c>
      <c r="O1" s="7" t="s">
        <v>124</v>
      </c>
      <c r="P1" s="5" t="s">
        <v>117</v>
      </c>
      <c r="Q1" s="5" t="s">
        <v>119</v>
      </c>
      <c r="R1" s="5" t="s">
        <v>120</v>
      </c>
      <c r="S1" s="5" t="s">
        <v>118</v>
      </c>
      <c r="T1" s="5" t="s">
        <v>80</v>
      </c>
      <c r="U1" s="5" t="s">
        <v>111</v>
      </c>
      <c r="V1" s="5" t="s">
        <v>85</v>
      </c>
      <c r="W1" s="9" t="s">
        <v>86</v>
      </c>
      <c r="X1" s="9" t="s">
        <v>88</v>
      </c>
      <c r="Y1" s="5" t="s">
        <v>94</v>
      </c>
    </row>
    <row r="2" spans="1:25" ht="15.75" customHeight="1" x14ac:dyDescent="0.25">
      <c r="A2" s="8" t="s">
        <v>78</v>
      </c>
      <c r="B2" s="8" t="s">
        <v>110</v>
      </c>
    </row>
    <row r="3" spans="1:25" ht="15.75" customHeight="1" x14ac:dyDescent="0.25">
      <c r="A3" s="8">
        <v>28</v>
      </c>
      <c r="B3" s="8">
        <f>A3-(D3+E3+F3+H3+J3+K3+L3+M3+N3+O3+T3+U3+V3+W3+X3+G3+P3+Q3+R3+S3+Y3+I3)</f>
        <v>4</v>
      </c>
      <c r="C3" s="1" t="s">
        <v>79</v>
      </c>
      <c r="D3" s="5">
        <v>2</v>
      </c>
      <c r="E3" s="5">
        <v>1</v>
      </c>
      <c r="F3" s="5">
        <v>0</v>
      </c>
      <c r="G3" s="5">
        <v>0</v>
      </c>
      <c r="H3" s="5">
        <v>4</v>
      </c>
      <c r="I3" s="5">
        <v>2</v>
      </c>
      <c r="J3" s="5">
        <v>2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2</v>
      </c>
      <c r="R3" s="5">
        <v>3</v>
      </c>
      <c r="S3" s="5">
        <v>1</v>
      </c>
      <c r="T3" s="5">
        <v>5</v>
      </c>
      <c r="U3" s="5">
        <v>0</v>
      </c>
      <c r="V3" s="5">
        <v>0</v>
      </c>
      <c r="W3" s="5">
        <v>0</v>
      </c>
      <c r="X3" s="5">
        <v>0</v>
      </c>
      <c r="Y3" s="5">
        <v>0</v>
      </c>
    </row>
    <row r="4" spans="1:25" ht="15.75" customHeight="1" x14ac:dyDescent="0.25">
      <c r="A4" s="8">
        <v>26</v>
      </c>
      <c r="B4" s="8">
        <f t="shared" ref="B4:B66" si="0">A4-(D4+E4+F4+H4+J4+K4+L4+M4+N4+O4+T4+U4+V4+W4+X4+G4+P4+Q4+R4+S4+Y4+I4)</f>
        <v>7</v>
      </c>
      <c r="C4" s="1" t="s">
        <v>0</v>
      </c>
      <c r="D4" s="5">
        <v>2</v>
      </c>
      <c r="E4" s="5">
        <v>1</v>
      </c>
      <c r="F4" s="5">
        <v>0</v>
      </c>
      <c r="G4" s="5">
        <v>0</v>
      </c>
      <c r="H4" s="5">
        <v>2</v>
      </c>
      <c r="I4" s="5">
        <v>2</v>
      </c>
      <c r="J4" s="5">
        <v>1</v>
      </c>
      <c r="K4" s="5">
        <v>2</v>
      </c>
      <c r="L4" s="5">
        <v>0</v>
      </c>
      <c r="M4" s="5">
        <v>0</v>
      </c>
      <c r="N4" s="5">
        <v>0</v>
      </c>
      <c r="O4" s="5">
        <v>0</v>
      </c>
      <c r="P4" s="5">
        <v>1</v>
      </c>
      <c r="Q4" s="5">
        <v>1</v>
      </c>
      <c r="R4" s="5">
        <v>2</v>
      </c>
      <c r="S4" s="5">
        <v>1</v>
      </c>
      <c r="T4" s="5">
        <v>4</v>
      </c>
      <c r="U4" s="5">
        <v>0</v>
      </c>
      <c r="V4" s="5">
        <v>0</v>
      </c>
      <c r="W4" s="5">
        <v>0</v>
      </c>
      <c r="X4" s="5">
        <v>0</v>
      </c>
      <c r="Y4" s="5">
        <v>0</v>
      </c>
    </row>
    <row r="5" spans="1:25" ht="15.75" customHeight="1" x14ac:dyDescent="0.25">
      <c r="A5" s="8">
        <v>7</v>
      </c>
      <c r="B5" s="8">
        <f t="shared" si="0"/>
        <v>3</v>
      </c>
      <c r="C5" s="1" t="s">
        <v>1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0</v>
      </c>
      <c r="Y5" s="5">
        <v>0</v>
      </c>
    </row>
    <row r="6" spans="1:25" ht="15.75" customHeight="1" x14ac:dyDescent="0.25">
      <c r="A6" s="8">
        <v>5</v>
      </c>
      <c r="B6" s="8">
        <f t="shared" si="0"/>
        <v>0</v>
      </c>
      <c r="C6" s="1" t="s">
        <v>89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</v>
      </c>
      <c r="J6" s="5">
        <v>0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1</v>
      </c>
      <c r="U6" s="5">
        <v>1</v>
      </c>
      <c r="V6" s="5">
        <v>0</v>
      </c>
      <c r="W6" s="5">
        <v>0</v>
      </c>
      <c r="X6" s="5">
        <v>0</v>
      </c>
      <c r="Y6" s="5">
        <v>0</v>
      </c>
    </row>
    <row r="7" spans="1:25" ht="15.75" customHeight="1" x14ac:dyDescent="0.25">
      <c r="A7" s="8">
        <v>4</v>
      </c>
      <c r="B7" s="8">
        <f t="shared" si="0"/>
        <v>0</v>
      </c>
      <c r="C7" s="1" t="s">
        <v>2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0</v>
      </c>
      <c r="V7" s="5">
        <v>0</v>
      </c>
      <c r="W7" s="5">
        <v>0</v>
      </c>
      <c r="X7" s="5">
        <v>0</v>
      </c>
      <c r="Y7" s="5">
        <v>0</v>
      </c>
    </row>
    <row r="8" spans="1:25" s="18" customFormat="1" ht="15.75" customHeight="1" x14ac:dyDescent="0.25">
      <c r="A8" s="15">
        <v>350</v>
      </c>
      <c r="B8" s="15">
        <f t="shared" si="0"/>
        <v>0</v>
      </c>
      <c r="C8" s="16" t="s">
        <v>92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40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310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</row>
    <row r="9" spans="1:25" s="18" customFormat="1" ht="15.75" customHeight="1" x14ac:dyDescent="0.25">
      <c r="A9" s="15">
        <v>0</v>
      </c>
      <c r="B9" s="15">
        <f t="shared" si="0"/>
        <v>0</v>
      </c>
      <c r="C9" s="16" t="s">
        <v>82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</row>
    <row r="10" spans="1:25" ht="15.75" customHeight="1" x14ac:dyDescent="0.25">
      <c r="A10" s="8">
        <v>7</v>
      </c>
      <c r="B10" s="8">
        <f t="shared" si="0"/>
        <v>-2</v>
      </c>
      <c r="C10" s="1" t="s">
        <v>3</v>
      </c>
      <c r="D10" s="5">
        <v>1</v>
      </c>
      <c r="E10" s="5">
        <v>0</v>
      </c>
      <c r="F10" s="5">
        <v>0</v>
      </c>
      <c r="G10" s="5">
        <v>0</v>
      </c>
      <c r="H10" s="5">
        <v>1</v>
      </c>
      <c r="I10" s="5">
        <v>0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2</v>
      </c>
      <c r="U10" s="5">
        <v>4</v>
      </c>
      <c r="V10" s="5">
        <v>0</v>
      </c>
      <c r="W10" s="5">
        <v>0</v>
      </c>
      <c r="X10" s="5">
        <v>0</v>
      </c>
      <c r="Y10" s="5">
        <v>0</v>
      </c>
    </row>
    <row r="11" spans="1:25" s="18" customFormat="1" ht="15.75" customHeight="1" x14ac:dyDescent="0.25">
      <c r="A11" s="15">
        <v>0</v>
      </c>
      <c r="B11" s="15">
        <f t="shared" si="0"/>
        <v>-1</v>
      </c>
      <c r="C11" s="16" t="s">
        <v>4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1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</row>
    <row r="12" spans="1:25" ht="15.75" customHeight="1" x14ac:dyDescent="0.25">
      <c r="A12" s="8">
        <v>15</v>
      </c>
      <c r="B12" s="8">
        <f t="shared" si="0"/>
        <v>7</v>
      </c>
      <c r="C12" s="1" t="s">
        <v>5</v>
      </c>
      <c r="D12" s="5">
        <v>2</v>
      </c>
      <c r="E12" s="5">
        <v>0</v>
      </c>
      <c r="F12" s="5">
        <v>1</v>
      </c>
      <c r="G12" s="5">
        <v>0</v>
      </c>
      <c r="H12" s="5">
        <v>1</v>
      </c>
      <c r="I12" s="5">
        <v>0</v>
      </c>
      <c r="J12" s="5">
        <v>0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3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</row>
    <row r="13" spans="1:25" s="18" customFormat="1" ht="15.75" customHeight="1" x14ac:dyDescent="0.25">
      <c r="A13" s="15">
        <v>25</v>
      </c>
      <c r="B13" s="15">
        <f t="shared" si="0"/>
        <v>0</v>
      </c>
      <c r="C13" s="16" t="s">
        <v>6</v>
      </c>
      <c r="D13" s="17">
        <v>4</v>
      </c>
      <c r="E13" s="17">
        <v>0</v>
      </c>
      <c r="F13" s="17">
        <v>4</v>
      </c>
      <c r="G13" s="17">
        <v>0</v>
      </c>
      <c r="H13" s="17">
        <v>0</v>
      </c>
      <c r="I13" s="17">
        <v>0</v>
      </c>
      <c r="J13" s="17">
        <v>0</v>
      </c>
      <c r="K13" s="17">
        <v>4</v>
      </c>
      <c r="L13" s="17">
        <v>0</v>
      </c>
      <c r="M13" s="17">
        <v>3</v>
      </c>
      <c r="N13" s="17">
        <v>0</v>
      </c>
      <c r="O13" s="17">
        <v>0</v>
      </c>
      <c r="P13" s="17">
        <v>0</v>
      </c>
      <c r="Q13" s="17">
        <v>2</v>
      </c>
      <c r="R13" s="17">
        <v>0</v>
      </c>
      <c r="S13" s="17">
        <v>0</v>
      </c>
      <c r="T13" s="17">
        <v>8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</row>
    <row r="14" spans="1:25" s="18" customFormat="1" ht="15.75" customHeight="1" x14ac:dyDescent="0.25">
      <c r="A14" s="15">
        <v>1</v>
      </c>
      <c r="B14" s="15">
        <f t="shared" si="0"/>
        <v>0</v>
      </c>
      <c r="C14" s="16" t="s">
        <v>7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1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</row>
    <row r="15" spans="1:25" s="18" customFormat="1" ht="15.75" customHeight="1" x14ac:dyDescent="0.25">
      <c r="A15" s="15">
        <v>8</v>
      </c>
      <c r="B15" s="15">
        <f t="shared" si="0"/>
        <v>0</v>
      </c>
      <c r="C15" s="16" t="s">
        <v>8</v>
      </c>
      <c r="D15" s="17">
        <v>2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6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</row>
    <row r="16" spans="1:25" s="18" customFormat="1" ht="15.75" customHeight="1" x14ac:dyDescent="0.25">
      <c r="A16" s="15">
        <v>67</v>
      </c>
      <c r="B16" s="15">
        <f t="shared" si="0"/>
        <v>0</v>
      </c>
      <c r="C16" s="16" t="s">
        <v>77</v>
      </c>
      <c r="D16" s="17">
        <v>20</v>
      </c>
      <c r="E16" s="17">
        <v>0</v>
      </c>
      <c r="F16" s="17">
        <v>7</v>
      </c>
      <c r="G16" s="17">
        <v>0</v>
      </c>
      <c r="H16" s="17">
        <v>12</v>
      </c>
      <c r="I16" s="17">
        <v>3</v>
      </c>
      <c r="J16" s="17">
        <v>0</v>
      </c>
      <c r="K16" s="17">
        <v>17</v>
      </c>
      <c r="L16" s="17">
        <v>0</v>
      </c>
      <c r="M16" s="17">
        <v>5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3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</row>
    <row r="17" spans="1:25" ht="15.75" customHeight="1" x14ac:dyDescent="0.25">
      <c r="A17" s="8">
        <v>21</v>
      </c>
      <c r="B17" s="8">
        <f t="shared" si="0"/>
        <v>6</v>
      </c>
      <c r="C17" s="1" t="s">
        <v>9</v>
      </c>
      <c r="D17" s="5">
        <v>2</v>
      </c>
      <c r="E17" s="5">
        <v>1</v>
      </c>
      <c r="F17" s="5">
        <v>0</v>
      </c>
      <c r="G17" s="5">
        <v>0</v>
      </c>
      <c r="H17" s="5">
        <v>2</v>
      </c>
      <c r="I17" s="5">
        <v>2</v>
      </c>
      <c r="J17" s="5">
        <v>1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2</v>
      </c>
      <c r="R17" s="5">
        <v>1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</row>
    <row r="18" spans="1:25" ht="15.75" customHeight="1" x14ac:dyDescent="0.25">
      <c r="A18" s="8">
        <v>12</v>
      </c>
      <c r="B18" s="8">
        <f t="shared" si="0"/>
        <v>2</v>
      </c>
      <c r="C18" s="1" t="s">
        <v>10</v>
      </c>
      <c r="D18" s="5">
        <v>0</v>
      </c>
      <c r="E18" s="5">
        <v>0</v>
      </c>
      <c r="F18" s="5">
        <v>1</v>
      </c>
      <c r="G18" s="5">
        <v>0</v>
      </c>
      <c r="H18" s="5">
        <v>1</v>
      </c>
      <c r="I18" s="5">
        <v>0</v>
      </c>
      <c r="J18" s="5">
        <v>0</v>
      </c>
      <c r="K18" s="5">
        <v>2</v>
      </c>
      <c r="L18" s="5">
        <v>0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5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</row>
    <row r="19" spans="1:25" ht="15.75" customHeight="1" x14ac:dyDescent="0.25">
      <c r="A19" s="8">
        <v>5</v>
      </c>
      <c r="B19" s="8">
        <f t="shared" si="0"/>
        <v>0</v>
      </c>
      <c r="C19" s="1" t="s">
        <v>11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5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</row>
    <row r="20" spans="1:25" s="18" customFormat="1" ht="15.75" customHeight="1" x14ac:dyDescent="0.25">
      <c r="A20" s="15">
        <v>17</v>
      </c>
      <c r="B20" s="15">
        <f t="shared" si="0"/>
        <v>0</v>
      </c>
      <c r="C20" s="16" t="s">
        <v>16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2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15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</row>
    <row r="21" spans="1:25" s="18" customFormat="1" ht="15.75" customHeight="1" x14ac:dyDescent="0.25">
      <c r="A21" s="15">
        <v>17</v>
      </c>
      <c r="B21" s="15">
        <f t="shared" si="0"/>
        <v>0</v>
      </c>
      <c r="C21" s="16" t="s">
        <v>15</v>
      </c>
      <c r="D21" s="17">
        <v>4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6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7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</row>
    <row r="22" spans="1:25" s="18" customFormat="1" ht="15.75" customHeight="1" x14ac:dyDescent="0.25">
      <c r="A22" s="15">
        <v>3</v>
      </c>
      <c r="B22" s="15">
        <f t="shared" si="0"/>
        <v>0</v>
      </c>
      <c r="C22" s="16" t="s">
        <v>13</v>
      </c>
      <c r="D22" s="17">
        <v>3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</row>
    <row r="23" spans="1:25" s="18" customFormat="1" ht="15.75" customHeight="1" x14ac:dyDescent="0.25">
      <c r="A23" s="15">
        <v>12</v>
      </c>
      <c r="B23" s="15">
        <f t="shared" si="0"/>
        <v>0</v>
      </c>
      <c r="C23" s="16" t="s">
        <v>12</v>
      </c>
      <c r="D23" s="17">
        <v>0</v>
      </c>
      <c r="E23" s="17">
        <v>0</v>
      </c>
      <c r="F23" s="17">
        <v>0</v>
      </c>
      <c r="G23" s="17">
        <v>0</v>
      </c>
      <c r="H23" s="17">
        <v>2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10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</row>
    <row r="24" spans="1:25" s="18" customFormat="1" ht="15.75" customHeight="1" x14ac:dyDescent="0.25">
      <c r="A24" s="15">
        <v>1</v>
      </c>
      <c r="B24" s="15">
        <f t="shared" si="0"/>
        <v>0</v>
      </c>
      <c r="C24" s="16" t="s">
        <v>14</v>
      </c>
      <c r="D24" s="17">
        <v>0</v>
      </c>
      <c r="E24" s="17">
        <v>0</v>
      </c>
      <c r="F24" s="17">
        <v>0</v>
      </c>
      <c r="G24" s="17">
        <v>0</v>
      </c>
      <c r="H24" s="17">
        <v>1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</row>
    <row r="25" spans="1:25" ht="15.75" customHeight="1" x14ac:dyDescent="0.25">
      <c r="A25" s="8">
        <v>2</v>
      </c>
      <c r="B25" s="8">
        <f t="shared" si="0"/>
        <v>0</v>
      </c>
      <c r="C25" s="1" t="s">
        <v>17</v>
      </c>
      <c r="D25" s="5">
        <v>0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</row>
    <row r="26" spans="1:25" s="18" customFormat="1" ht="15.75" customHeight="1" x14ac:dyDescent="0.25">
      <c r="A26" s="15">
        <v>1</v>
      </c>
      <c r="B26" s="15">
        <f t="shared" si="0"/>
        <v>-1</v>
      </c>
      <c r="C26" s="16" t="s">
        <v>90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1</v>
      </c>
      <c r="U26" s="17">
        <v>1</v>
      </c>
      <c r="V26" s="17">
        <v>0</v>
      </c>
      <c r="W26" s="17">
        <v>0</v>
      </c>
      <c r="X26" s="17">
        <v>0</v>
      </c>
      <c r="Y26" s="17">
        <v>0</v>
      </c>
    </row>
    <row r="27" spans="1:25" ht="15.75" customHeight="1" x14ac:dyDescent="0.25">
      <c r="A27" s="8">
        <v>2</v>
      </c>
      <c r="B27" s="8">
        <f t="shared" si="0"/>
        <v>0</v>
      </c>
      <c r="C27" s="1" t="s">
        <v>18</v>
      </c>
      <c r="D27" s="5">
        <v>0</v>
      </c>
      <c r="E27" s="5">
        <v>0</v>
      </c>
      <c r="F27" s="5">
        <v>0</v>
      </c>
      <c r="G27" s="5">
        <v>0</v>
      </c>
      <c r="H27" s="5">
        <v>1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</row>
    <row r="28" spans="1:25" s="18" customFormat="1" ht="15.75" customHeight="1" x14ac:dyDescent="0.25">
      <c r="A28" s="15">
        <v>10</v>
      </c>
      <c r="B28" s="15">
        <f t="shared" si="0"/>
        <v>0</v>
      </c>
      <c r="C28" s="16" t="s">
        <v>83</v>
      </c>
      <c r="D28" s="17">
        <v>1</v>
      </c>
      <c r="E28" s="17">
        <v>0</v>
      </c>
      <c r="F28" s="17">
        <v>0</v>
      </c>
      <c r="G28" s="17">
        <v>0</v>
      </c>
      <c r="H28" s="17">
        <v>1</v>
      </c>
      <c r="I28" s="17">
        <v>0</v>
      </c>
      <c r="J28" s="17">
        <v>2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6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</row>
    <row r="29" spans="1:25" s="18" customFormat="1" ht="15.75" customHeight="1" x14ac:dyDescent="0.25">
      <c r="A29" s="15"/>
      <c r="B29" s="15">
        <f t="shared" si="0"/>
        <v>0</v>
      </c>
      <c r="C29" s="21" t="s">
        <v>19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</row>
    <row r="30" spans="1:25" s="18" customFormat="1" ht="15.75" customHeight="1" x14ac:dyDescent="0.25">
      <c r="A30" s="15"/>
      <c r="B30" s="15">
        <f t="shared" si="0"/>
        <v>0</v>
      </c>
      <c r="C30" s="21" t="s">
        <v>20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</row>
    <row r="31" spans="1:25" s="18" customFormat="1" ht="15.75" customHeight="1" x14ac:dyDescent="0.25">
      <c r="A31" s="15"/>
      <c r="B31" s="15">
        <f t="shared" si="0"/>
        <v>0</v>
      </c>
      <c r="C31" s="21" t="s">
        <v>21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</row>
    <row r="32" spans="1:25" ht="15.75" customHeight="1" x14ac:dyDescent="0.25">
      <c r="A32" s="8">
        <v>5</v>
      </c>
      <c r="B32" s="8">
        <f t="shared" si="0"/>
        <v>3</v>
      </c>
      <c r="C32" s="1" t="s">
        <v>23</v>
      </c>
      <c r="D32" s="5">
        <v>0</v>
      </c>
      <c r="E32" s="5">
        <v>0</v>
      </c>
      <c r="F32" s="5">
        <v>2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</row>
    <row r="33" spans="1:25" ht="15.75" customHeight="1" x14ac:dyDescent="0.25">
      <c r="A33" s="8">
        <v>0</v>
      </c>
      <c r="B33" s="8">
        <f t="shared" si="0"/>
        <v>0</v>
      </c>
      <c r="C33" s="1" t="s">
        <v>22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</row>
    <row r="34" spans="1:25" ht="15.75" customHeight="1" x14ac:dyDescent="0.25">
      <c r="A34" s="8">
        <v>4</v>
      </c>
      <c r="B34" s="8">
        <f t="shared" si="0"/>
        <v>0</v>
      </c>
      <c r="C34" s="1" t="s">
        <v>24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4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</row>
    <row r="35" spans="1:25" s="18" customFormat="1" ht="15.75" customHeight="1" x14ac:dyDescent="0.25">
      <c r="A35" s="15"/>
      <c r="B35" s="15">
        <f t="shared" si="0"/>
        <v>0</v>
      </c>
      <c r="C35" s="21" t="s">
        <v>27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</row>
    <row r="36" spans="1:25" s="18" customFormat="1" ht="15.75" customHeight="1" x14ac:dyDescent="0.25">
      <c r="A36" s="15"/>
      <c r="B36" s="15">
        <f t="shared" si="0"/>
        <v>0</v>
      </c>
      <c r="C36" s="16" t="s">
        <v>28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</row>
    <row r="37" spans="1:25" s="18" customFormat="1" ht="15.75" customHeight="1" x14ac:dyDescent="0.25">
      <c r="A37" s="15"/>
      <c r="B37" s="15">
        <f t="shared" si="0"/>
        <v>0</v>
      </c>
      <c r="C37" s="16" t="s">
        <v>25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</row>
    <row r="38" spans="1:25" s="18" customFormat="1" ht="15.75" customHeight="1" x14ac:dyDescent="0.25">
      <c r="A38" s="15"/>
      <c r="B38" s="15">
        <f t="shared" si="0"/>
        <v>0</v>
      </c>
      <c r="C38" s="21" t="s">
        <v>26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</row>
    <row r="39" spans="1:25" s="18" customFormat="1" ht="15.75" customHeight="1" x14ac:dyDescent="0.25">
      <c r="A39" s="15"/>
      <c r="B39" s="15">
        <f t="shared" si="0"/>
        <v>0</v>
      </c>
      <c r="C39" s="16" t="s">
        <v>29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</row>
    <row r="40" spans="1:25" ht="15.75" customHeight="1" x14ac:dyDescent="0.25">
      <c r="A40" s="8">
        <v>1</v>
      </c>
      <c r="B40" s="8">
        <f t="shared" si="0"/>
        <v>0</v>
      </c>
      <c r="C40" s="1" t="s">
        <v>32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</row>
    <row r="41" spans="1:25" ht="15.75" customHeight="1" x14ac:dyDescent="0.25">
      <c r="A41" s="8">
        <v>11</v>
      </c>
      <c r="B41" s="8">
        <f t="shared" si="0"/>
        <v>0</v>
      </c>
      <c r="C41" s="1" t="s">
        <v>30</v>
      </c>
      <c r="D41" s="5">
        <v>0</v>
      </c>
      <c r="E41" s="5">
        <v>0</v>
      </c>
      <c r="F41" s="5">
        <v>2</v>
      </c>
      <c r="G41" s="5">
        <v>0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7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</row>
    <row r="42" spans="1:25" ht="15.75" customHeight="1" x14ac:dyDescent="0.25">
      <c r="A42" s="8">
        <v>0</v>
      </c>
      <c r="B42" s="8">
        <f t="shared" si="0"/>
        <v>0</v>
      </c>
      <c r="C42" s="1" t="s">
        <v>84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</row>
    <row r="43" spans="1:25" ht="15.75" customHeight="1" x14ac:dyDescent="0.25">
      <c r="A43" s="8">
        <v>1</v>
      </c>
      <c r="B43" s="8">
        <f t="shared" si="0"/>
        <v>0</v>
      </c>
      <c r="C43" s="1" t="s">
        <v>31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</row>
    <row r="44" spans="1:25" ht="15.75" customHeight="1" x14ac:dyDescent="0.25">
      <c r="A44" s="8">
        <v>13</v>
      </c>
      <c r="B44" s="8">
        <f t="shared" si="0"/>
        <v>7</v>
      </c>
      <c r="C44" s="1" t="s">
        <v>34</v>
      </c>
      <c r="D44" s="5">
        <v>1</v>
      </c>
      <c r="E44" s="5">
        <v>0</v>
      </c>
      <c r="F44" s="5">
        <v>1</v>
      </c>
      <c r="G44" s="5">
        <v>0</v>
      </c>
      <c r="H44" s="5">
        <v>2</v>
      </c>
      <c r="I44" s="5">
        <v>0</v>
      </c>
      <c r="J44" s="5">
        <v>0</v>
      </c>
      <c r="K44" s="5">
        <v>1</v>
      </c>
      <c r="L44" s="5">
        <v>0</v>
      </c>
      <c r="M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</row>
    <row r="45" spans="1:25" ht="15.75" customHeight="1" x14ac:dyDescent="0.25">
      <c r="A45" s="8">
        <v>4</v>
      </c>
      <c r="B45" s="8">
        <f t="shared" si="0"/>
        <v>0</v>
      </c>
      <c r="C45" s="3" t="s">
        <v>35</v>
      </c>
      <c r="D45" s="5">
        <v>0</v>
      </c>
      <c r="E45" s="5">
        <v>0</v>
      </c>
      <c r="F45" s="5">
        <v>0</v>
      </c>
      <c r="G45" s="5">
        <v>0</v>
      </c>
      <c r="H45" s="5">
        <v>3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</row>
    <row r="46" spans="1:25" ht="15.75" customHeight="1" x14ac:dyDescent="0.25">
      <c r="A46" s="8">
        <v>3</v>
      </c>
      <c r="B46" s="8">
        <f t="shared" si="0"/>
        <v>-2</v>
      </c>
      <c r="C46" s="1" t="s">
        <v>33</v>
      </c>
      <c r="D46" s="5">
        <v>1</v>
      </c>
      <c r="E46" s="5">
        <v>0</v>
      </c>
      <c r="F46" s="5">
        <v>0</v>
      </c>
      <c r="G46" s="5">
        <v>0</v>
      </c>
      <c r="H46" s="5">
        <v>1</v>
      </c>
      <c r="I46" s="5">
        <v>0</v>
      </c>
      <c r="J46" s="5">
        <v>0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2</v>
      </c>
      <c r="V46" s="5">
        <v>0</v>
      </c>
      <c r="W46" s="5">
        <v>0</v>
      </c>
      <c r="X46" s="5">
        <v>0</v>
      </c>
      <c r="Y46" s="5">
        <v>0</v>
      </c>
    </row>
    <row r="47" spans="1:25" ht="15.75" customHeight="1" x14ac:dyDescent="0.25">
      <c r="A47" s="8">
        <v>25</v>
      </c>
      <c r="B47" s="8">
        <f t="shared" si="0"/>
        <v>-12</v>
      </c>
      <c r="C47" s="1" t="s">
        <v>36</v>
      </c>
      <c r="D47" s="5">
        <v>3</v>
      </c>
      <c r="E47" s="5">
        <v>0</v>
      </c>
      <c r="F47" s="5">
        <v>1</v>
      </c>
      <c r="G47" s="5">
        <v>0</v>
      </c>
      <c r="H47" s="5">
        <v>2</v>
      </c>
      <c r="I47" s="5">
        <v>0</v>
      </c>
      <c r="J47" s="5">
        <v>0</v>
      </c>
      <c r="K47" s="5">
        <v>1</v>
      </c>
      <c r="L47" s="5">
        <v>0</v>
      </c>
      <c r="M47" s="5">
        <v>1</v>
      </c>
      <c r="N47" s="5">
        <v>0</v>
      </c>
      <c r="O47" s="5">
        <v>0</v>
      </c>
      <c r="P47" s="5">
        <v>0</v>
      </c>
      <c r="Q47" s="5">
        <v>1</v>
      </c>
      <c r="R47" s="5">
        <v>0</v>
      </c>
      <c r="S47" s="5">
        <v>0</v>
      </c>
      <c r="T47" s="5">
        <v>25</v>
      </c>
      <c r="U47" s="5">
        <v>3</v>
      </c>
      <c r="V47" s="5">
        <v>0</v>
      </c>
      <c r="W47" s="5">
        <v>0</v>
      </c>
      <c r="X47" s="5">
        <v>0</v>
      </c>
      <c r="Y47" s="5">
        <v>0</v>
      </c>
    </row>
    <row r="48" spans="1:25" s="18" customFormat="1" ht="15.75" hidden="1" customHeight="1" x14ac:dyDescent="0.25">
      <c r="A48" s="15">
        <v>0</v>
      </c>
      <c r="B48" s="15">
        <f t="shared" si="0"/>
        <v>0</v>
      </c>
      <c r="C48" s="16" t="s">
        <v>37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</row>
    <row r="49" spans="1:25" ht="15.75" customHeight="1" x14ac:dyDescent="0.25">
      <c r="A49" s="8">
        <v>1</v>
      </c>
      <c r="B49" s="8">
        <f t="shared" si="0"/>
        <v>0</v>
      </c>
      <c r="C49" s="1" t="s">
        <v>38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</row>
    <row r="50" spans="1:25" ht="15.75" customHeight="1" x14ac:dyDescent="0.25">
      <c r="A50" s="8">
        <v>1</v>
      </c>
      <c r="B50" s="8">
        <f t="shared" si="0"/>
        <v>0</v>
      </c>
      <c r="C50" s="1" t="s">
        <v>87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</row>
    <row r="51" spans="1:25" s="18" customFormat="1" ht="15.75" hidden="1" customHeight="1" x14ac:dyDescent="0.25">
      <c r="A51" s="15">
        <v>4</v>
      </c>
      <c r="B51" s="15">
        <f t="shared" si="0"/>
        <v>0</v>
      </c>
      <c r="C51" s="16" t="s">
        <v>39</v>
      </c>
      <c r="D51" s="17">
        <v>0</v>
      </c>
      <c r="E51" s="17">
        <v>0</v>
      </c>
      <c r="F51" s="17">
        <v>2</v>
      </c>
      <c r="G51" s="17">
        <v>0</v>
      </c>
      <c r="H51" s="17">
        <v>1</v>
      </c>
      <c r="I51" s="17">
        <v>0</v>
      </c>
      <c r="J51" s="17">
        <v>0</v>
      </c>
      <c r="K51" s="17">
        <v>1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</row>
    <row r="52" spans="1:25" ht="15.75" customHeight="1" x14ac:dyDescent="0.25">
      <c r="A52" s="8">
        <v>17</v>
      </c>
      <c r="B52" s="8">
        <f t="shared" si="0"/>
        <v>0</v>
      </c>
      <c r="C52" s="1" t="s">
        <v>41</v>
      </c>
      <c r="D52" s="5">
        <v>0</v>
      </c>
      <c r="E52" s="5">
        <v>0</v>
      </c>
      <c r="F52" s="5">
        <v>2</v>
      </c>
      <c r="G52" s="5">
        <v>0</v>
      </c>
      <c r="H52" s="5">
        <v>2</v>
      </c>
      <c r="I52" s="5">
        <v>0</v>
      </c>
      <c r="J52" s="5">
        <v>1</v>
      </c>
      <c r="K52" s="5">
        <v>1</v>
      </c>
      <c r="L52" s="5">
        <v>0</v>
      </c>
      <c r="M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3</v>
      </c>
      <c r="U52" s="5">
        <v>6</v>
      </c>
      <c r="V52" s="5">
        <v>0</v>
      </c>
      <c r="W52" s="5">
        <v>0</v>
      </c>
      <c r="X52" s="5">
        <v>0</v>
      </c>
      <c r="Y52" s="5">
        <v>0</v>
      </c>
    </row>
    <row r="53" spans="1:25" ht="15.75" customHeight="1" x14ac:dyDescent="0.25">
      <c r="A53" s="8">
        <v>6</v>
      </c>
      <c r="B53" s="8">
        <f t="shared" si="0"/>
        <v>-5</v>
      </c>
      <c r="C53" s="1" t="s">
        <v>40</v>
      </c>
      <c r="D53" s="5">
        <v>3</v>
      </c>
      <c r="E53" s="5">
        <v>0</v>
      </c>
      <c r="F53" s="5">
        <v>3</v>
      </c>
      <c r="G53" s="5">
        <v>0</v>
      </c>
      <c r="H53" s="5">
        <v>0</v>
      </c>
      <c r="I53" s="5">
        <v>0</v>
      </c>
      <c r="J53" s="5">
        <v>0</v>
      </c>
      <c r="K53" s="5">
        <v>2</v>
      </c>
      <c r="L53" s="5">
        <v>0</v>
      </c>
      <c r="M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1</v>
      </c>
      <c r="V53" s="5">
        <v>0</v>
      </c>
      <c r="W53" s="5">
        <v>0</v>
      </c>
      <c r="X53" s="5">
        <v>0</v>
      </c>
      <c r="Y53" s="5">
        <v>0</v>
      </c>
    </row>
    <row r="54" spans="1:25" ht="15.75" customHeight="1" x14ac:dyDescent="0.25">
      <c r="A54" s="8">
        <v>12</v>
      </c>
      <c r="B54" s="8">
        <f t="shared" si="0"/>
        <v>-7</v>
      </c>
      <c r="C54" s="1" t="s">
        <v>42</v>
      </c>
      <c r="D54" s="5">
        <v>4</v>
      </c>
      <c r="E54" s="5">
        <v>1</v>
      </c>
      <c r="F54" s="5">
        <v>2</v>
      </c>
      <c r="G54" s="5">
        <v>0</v>
      </c>
      <c r="H54" s="5">
        <v>2</v>
      </c>
      <c r="I54" s="5">
        <v>0</v>
      </c>
      <c r="J54" s="5">
        <v>0</v>
      </c>
      <c r="K54" s="5">
        <v>2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1</v>
      </c>
      <c r="R54" s="5">
        <v>0</v>
      </c>
      <c r="S54" s="5">
        <v>1</v>
      </c>
      <c r="T54" s="5">
        <v>6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</row>
    <row r="55" spans="1:25" s="18" customFormat="1" ht="15.75" hidden="1" customHeight="1" x14ac:dyDescent="0.25">
      <c r="A55" s="15">
        <v>13</v>
      </c>
      <c r="B55" s="15">
        <f t="shared" si="0"/>
        <v>0</v>
      </c>
      <c r="C55" s="16" t="s">
        <v>44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4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9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</row>
    <row r="56" spans="1:25" s="18" customFormat="1" ht="15.75" hidden="1" customHeight="1" x14ac:dyDescent="0.25">
      <c r="A56" s="15">
        <v>187</v>
      </c>
      <c r="B56" s="15">
        <f t="shared" si="0"/>
        <v>0</v>
      </c>
      <c r="C56" s="19" t="s">
        <v>103</v>
      </c>
      <c r="D56" s="17">
        <v>56</v>
      </c>
      <c r="E56" s="17">
        <v>0</v>
      </c>
      <c r="F56" s="17">
        <v>0</v>
      </c>
      <c r="G56" s="17">
        <v>0</v>
      </c>
      <c r="H56" s="17">
        <v>79</v>
      </c>
      <c r="I56" s="17">
        <v>0</v>
      </c>
      <c r="J56" s="17">
        <v>0</v>
      </c>
      <c r="K56" s="17">
        <v>0</v>
      </c>
      <c r="L56" s="17">
        <v>0</v>
      </c>
      <c r="M56" s="17">
        <v>4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19</v>
      </c>
      <c r="U56" s="17">
        <v>29</v>
      </c>
      <c r="V56" s="17">
        <v>0</v>
      </c>
      <c r="W56" s="17">
        <v>0</v>
      </c>
      <c r="X56" s="17">
        <v>0</v>
      </c>
      <c r="Y56" s="17">
        <v>0</v>
      </c>
    </row>
    <row r="57" spans="1:25" s="18" customFormat="1" ht="15.75" hidden="1" customHeight="1" x14ac:dyDescent="0.25">
      <c r="A57" s="15">
        <v>206</v>
      </c>
      <c r="B57" s="15">
        <f t="shared" si="0"/>
        <v>2</v>
      </c>
      <c r="C57" s="19" t="s">
        <v>104</v>
      </c>
      <c r="D57" s="17">
        <v>92</v>
      </c>
      <c r="E57" s="17">
        <v>0</v>
      </c>
      <c r="F57" s="17">
        <v>39</v>
      </c>
      <c r="G57" s="17">
        <v>0</v>
      </c>
      <c r="H57" s="17">
        <v>38</v>
      </c>
      <c r="I57" s="17">
        <v>0</v>
      </c>
      <c r="J57" s="17">
        <v>0</v>
      </c>
      <c r="K57" s="17">
        <v>4</v>
      </c>
      <c r="L57" s="17">
        <v>0</v>
      </c>
      <c r="M57" s="17">
        <v>5</v>
      </c>
      <c r="N57" s="17">
        <v>2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22</v>
      </c>
      <c r="U57" s="17">
        <v>2</v>
      </c>
      <c r="V57" s="17">
        <v>0</v>
      </c>
      <c r="W57" s="17">
        <v>0</v>
      </c>
      <c r="X57" s="17">
        <v>0</v>
      </c>
      <c r="Y57" s="17">
        <v>0</v>
      </c>
    </row>
    <row r="58" spans="1:25" s="18" customFormat="1" ht="15.75" hidden="1" customHeight="1" x14ac:dyDescent="0.25">
      <c r="A58" s="15">
        <v>21</v>
      </c>
      <c r="B58" s="15">
        <f t="shared" si="0"/>
        <v>0</v>
      </c>
      <c r="C58" s="16" t="s">
        <v>43</v>
      </c>
      <c r="D58" s="17">
        <v>4</v>
      </c>
      <c r="E58" s="17">
        <v>3</v>
      </c>
      <c r="F58" s="17">
        <v>4</v>
      </c>
      <c r="G58" s="17">
        <v>0</v>
      </c>
      <c r="H58" s="17">
        <v>0</v>
      </c>
      <c r="I58" s="17">
        <v>0</v>
      </c>
      <c r="J58" s="17">
        <v>3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5</v>
      </c>
      <c r="U58" s="17">
        <v>2</v>
      </c>
      <c r="V58" s="17">
        <v>0</v>
      </c>
      <c r="W58" s="17">
        <v>0</v>
      </c>
      <c r="X58" s="17">
        <v>0</v>
      </c>
      <c r="Y58" s="17">
        <v>0</v>
      </c>
    </row>
    <row r="59" spans="1:25" s="18" customFormat="1" ht="15.75" hidden="1" customHeight="1" x14ac:dyDescent="0.25">
      <c r="A59" s="15">
        <v>1100</v>
      </c>
      <c r="B59" s="15">
        <f t="shared" si="0"/>
        <v>0</v>
      </c>
      <c r="C59" s="16" t="s">
        <v>45</v>
      </c>
      <c r="D59" s="17">
        <v>0</v>
      </c>
      <c r="E59" s="17">
        <v>0</v>
      </c>
      <c r="F59" s="17">
        <v>0</v>
      </c>
      <c r="G59" s="17">
        <v>0</v>
      </c>
      <c r="H59" s="17">
        <v>390</v>
      </c>
      <c r="I59" s="17">
        <v>0</v>
      </c>
      <c r="J59" s="17">
        <v>0</v>
      </c>
      <c r="K59" s="17">
        <v>10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700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</row>
    <row r="60" spans="1:25" ht="15.75" customHeight="1" x14ac:dyDescent="0.25">
      <c r="A60" s="8">
        <v>1</v>
      </c>
      <c r="B60" s="8">
        <f t="shared" si="0"/>
        <v>0</v>
      </c>
      <c r="C60" s="1" t="s">
        <v>46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</row>
    <row r="61" spans="1:25" ht="15.75" customHeight="1" x14ac:dyDescent="0.25">
      <c r="A61" s="8">
        <v>10</v>
      </c>
      <c r="B61" s="8">
        <f t="shared" si="0"/>
        <v>4</v>
      </c>
      <c r="C61" s="1" t="s">
        <v>76</v>
      </c>
      <c r="D61" s="5">
        <v>1</v>
      </c>
      <c r="E61" s="5">
        <v>1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</row>
    <row r="62" spans="1:25" ht="15.75" customHeight="1" x14ac:dyDescent="0.25">
      <c r="A62" s="8">
        <v>3</v>
      </c>
      <c r="B62" s="8">
        <f t="shared" si="0"/>
        <v>-1</v>
      </c>
      <c r="C62" s="1" t="s">
        <v>47</v>
      </c>
      <c r="D62" s="5">
        <v>0</v>
      </c>
      <c r="E62" s="5">
        <v>0</v>
      </c>
      <c r="F62" s="5">
        <v>1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2</v>
      </c>
      <c r="U62" s="5">
        <v>1</v>
      </c>
      <c r="V62" s="5">
        <v>0</v>
      </c>
      <c r="W62" s="5">
        <v>0</v>
      </c>
      <c r="X62" s="5">
        <v>0</v>
      </c>
      <c r="Y62" s="5">
        <v>0</v>
      </c>
    </row>
    <row r="63" spans="1:25" s="18" customFormat="1" ht="15.75" customHeight="1" x14ac:dyDescent="0.25">
      <c r="A63" s="15">
        <v>0</v>
      </c>
      <c r="B63" s="15">
        <f t="shared" si="0"/>
        <v>0</v>
      </c>
      <c r="C63" s="16" t="s">
        <v>48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</row>
    <row r="64" spans="1:25" s="18" customFormat="1" ht="15.75" customHeight="1" x14ac:dyDescent="0.25">
      <c r="A64" s="15">
        <v>206</v>
      </c>
      <c r="B64" s="15">
        <f t="shared" si="0"/>
        <v>80</v>
      </c>
      <c r="C64" s="16" t="s">
        <v>49</v>
      </c>
      <c r="D64" s="17">
        <v>0</v>
      </c>
      <c r="E64" s="17">
        <v>0</v>
      </c>
      <c r="F64" s="17">
        <v>40</v>
      </c>
      <c r="G64" s="17">
        <v>0</v>
      </c>
      <c r="H64" s="17">
        <v>15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71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</row>
    <row r="65" spans="1:25" ht="15.75" customHeight="1" x14ac:dyDescent="0.25">
      <c r="A65" s="8">
        <v>1</v>
      </c>
      <c r="B65" s="8">
        <f t="shared" si="0"/>
        <v>-1</v>
      </c>
      <c r="C65" s="1" t="s">
        <v>50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2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</row>
    <row r="66" spans="1:25" ht="15.75" customHeight="1" x14ac:dyDescent="0.25">
      <c r="A66" s="8">
        <v>1</v>
      </c>
      <c r="B66" s="8">
        <f t="shared" si="0"/>
        <v>-2</v>
      </c>
      <c r="C66" s="1" t="s">
        <v>91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1</v>
      </c>
      <c r="S66" s="5">
        <v>0</v>
      </c>
      <c r="T66" s="5">
        <v>2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</row>
    <row r="67" spans="1:25" ht="15.75" customHeight="1" x14ac:dyDescent="0.25">
      <c r="A67" s="8">
        <v>10</v>
      </c>
      <c r="B67" s="8">
        <f t="shared" ref="B67:B107" si="1">A67-(D67+E67+F67+H67+J67+K67+L67+M67+N67+O67+T67+U67+V67+W67+X67+G67+P67+Q67+R67+S67+Y67+I67)</f>
        <v>0</v>
      </c>
      <c r="C67" s="1" t="s">
        <v>51</v>
      </c>
      <c r="D67" s="5">
        <v>0</v>
      </c>
      <c r="E67" s="5">
        <v>0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1</v>
      </c>
      <c r="N67" s="5">
        <v>0</v>
      </c>
      <c r="O67" s="5">
        <v>0</v>
      </c>
      <c r="P67" s="5">
        <v>0</v>
      </c>
      <c r="Q67" s="5">
        <v>1</v>
      </c>
      <c r="R67" s="5">
        <v>0</v>
      </c>
      <c r="S67" s="5">
        <v>0</v>
      </c>
      <c r="T67" s="5">
        <v>3</v>
      </c>
      <c r="U67" s="5">
        <v>3</v>
      </c>
      <c r="V67" s="5">
        <v>0</v>
      </c>
      <c r="W67" s="5">
        <v>0</v>
      </c>
      <c r="X67" s="5">
        <v>0</v>
      </c>
      <c r="Y67" s="5">
        <v>0</v>
      </c>
    </row>
    <row r="68" spans="1:25" s="18" customFormat="1" ht="15.75" customHeight="1" x14ac:dyDescent="0.25">
      <c r="A68" s="15">
        <v>56</v>
      </c>
      <c r="B68" s="15">
        <f t="shared" si="1"/>
        <v>0</v>
      </c>
      <c r="C68" s="16" t="s">
        <v>62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54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2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</row>
    <row r="69" spans="1:25" s="18" customFormat="1" ht="15.75" customHeight="1" x14ac:dyDescent="0.25">
      <c r="A69" s="15">
        <v>672</v>
      </c>
      <c r="B69" s="15">
        <f t="shared" si="1"/>
        <v>0</v>
      </c>
      <c r="C69" s="16" t="s">
        <v>63</v>
      </c>
      <c r="D69" s="17">
        <v>0</v>
      </c>
      <c r="E69" s="17">
        <v>0</v>
      </c>
      <c r="F69" s="17">
        <v>0</v>
      </c>
      <c r="G69" s="17">
        <v>0</v>
      </c>
      <c r="H69" s="17">
        <v>73</v>
      </c>
      <c r="I69" s="17">
        <v>0</v>
      </c>
      <c r="J69" s="17">
        <v>0</v>
      </c>
      <c r="K69" s="17">
        <v>10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589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</row>
    <row r="70" spans="1:25" s="18" customFormat="1" ht="15.75" customHeight="1" x14ac:dyDescent="0.25">
      <c r="A70" s="15">
        <v>46</v>
      </c>
      <c r="B70" s="15">
        <f t="shared" si="1"/>
        <v>0</v>
      </c>
      <c r="C70" s="16" t="s">
        <v>52</v>
      </c>
      <c r="D70" s="17">
        <v>6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10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30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</row>
    <row r="71" spans="1:25" s="18" customFormat="1" ht="15.75" customHeight="1" x14ac:dyDescent="0.25">
      <c r="A71" s="15">
        <v>130</v>
      </c>
      <c r="B71" s="15">
        <f t="shared" si="1"/>
        <v>0</v>
      </c>
      <c r="C71" s="16" t="s">
        <v>93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130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</row>
    <row r="72" spans="1:25" s="18" customFormat="1" ht="15.75" customHeight="1" x14ac:dyDescent="0.25">
      <c r="A72" s="15">
        <v>3508</v>
      </c>
      <c r="B72" s="15">
        <f t="shared" si="1"/>
        <v>20</v>
      </c>
      <c r="C72" s="16" t="s">
        <v>53</v>
      </c>
      <c r="D72" s="17">
        <v>0</v>
      </c>
      <c r="E72" s="17">
        <v>0</v>
      </c>
      <c r="F72" s="17">
        <v>40</v>
      </c>
      <c r="G72" s="17">
        <v>0</v>
      </c>
      <c r="H72" s="17">
        <v>117</v>
      </c>
      <c r="I72" s="17">
        <v>0</v>
      </c>
      <c r="J72" s="17">
        <v>0</v>
      </c>
      <c r="K72" s="17">
        <v>423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2268</v>
      </c>
      <c r="U72" s="17">
        <v>580</v>
      </c>
      <c r="V72" s="17">
        <v>0</v>
      </c>
      <c r="W72" s="17">
        <v>0</v>
      </c>
      <c r="X72" s="17">
        <v>60</v>
      </c>
      <c r="Y72" s="17">
        <v>0</v>
      </c>
    </row>
    <row r="73" spans="1:25" s="18" customFormat="1" ht="15.75" customHeight="1" x14ac:dyDescent="0.25">
      <c r="A73" s="15">
        <v>0</v>
      </c>
      <c r="B73" s="15">
        <f t="shared" si="1"/>
        <v>0</v>
      </c>
      <c r="C73" s="16" t="s">
        <v>95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</row>
    <row r="74" spans="1:25" s="18" customFormat="1" ht="15.75" customHeight="1" x14ac:dyDescent="0.25">
      <c r="A74" s="15">
        <v>640</v>
      </c>
      <c r="B74" s="15">
        <f t="shared" si="1"/>
        <v>-15</v>
      </c>
      <c r="C74" s="16" t="s">
        <v>54</v>
      </c>
      <c r="D74" s="17">
        <v>0</v>
      </c>
      <c r="E74" s="17">
        <v>0</v>
      </c>
      <c r="F74" s="17">
        <v>20</v>
      </c>
      <c r="G74" s="17">
        <v>0</v>
      </c>
      <c r="H74" s="17">
        <v>0</v>
      </c>
      <c r="I74" s="17">
        <v>0</v>
      </c>
      <c r="J74" s="17">
        <v>0</v>
      </c>
      <c r="K74" s="17">
        <v>12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573</v>
      </c>
      <c r="U74" s="17">
        <v>50</v>
      </c>
      <c r="V74" s="17">
        <v>0</v>
      </c>
      <c r="W74" s="17">
        <v>0</v>
      </c>
      <c r="X74" s="17">
        <v>0</v>
      </c>
      <c r="Y74" s="17">
        <v>0</v>
      </c>
    </row>
    <row r="75" spans="1:25" ht="15.75" customHeight="1" x14ac:dyDescent="0.25">
      <c r="A75" s="8">
        <v>8</v>
      </c>
      <c r="B75" s="8">
        <f t="shared" si="1"/>
        <v>0</v>
      </c>
      <c r="C75" s="2" t="s">
        <v>55</v>
      </c>
      <c r="D75" s="5">
        <v>0</v>
      </c>
      <c r="E75" s="5">
        <v>0</v>
      </c>
      <c r="F75" s="5">
        <v>0</v>
      </c>
      <c r="G75" s="5">
        <v>0</v>
      </c>
      <c r="H75" s="5">
        <v>3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5</v>
      </c>
      <c r="V75" s="5">
        <v>0</v>
      </c>
      <c r="W75" s="5">
        <v>0</v>
      </c>
      <c r="X75" s="5">
        <v>0</v>
      </c>
      <c r="Y75" s="5">
        <v>0</v>
      </c>
    </row>
    <row r="76" spans="1:25" ht="15.75" customHeight="1" x14ac:dyDescent="0.25">
      <c r="A76" s="11">
        <v>0</v>
      </c>
      <c r="B76" s="8">
        <f t="shared" si="1"/>
        <v>-13</v>
      </c>
      <c r="C76" s="2" t="s">
        <v>56</v>
      </c>
      <c r="D76" s="5">
        <v>1</v>
      </c>
      <c r="E76" s="5">
        <v>1</v>
      </c>
      <c r="F76" s="5">
        <v>0</v>
      </c>
      <c r="G76" s="5">
        <v>0</v>
      </c>
      <c r="H76" s="5">
        <v>3</v>
      </c>
      <c r="I76" s="5">
        <v>0</v>
      </c>
      <c r="J76" s="5">
        <v>0</v>
      </c>
      <c r="K76" s="5">
        <v>1</v>
      </c>
      <c r="L76" s="5">
        <v>0</v>
      </c>
      <c r="M76" s="5">
        <v>0</v>
      </c>
      <c r="N76" s="5">
        <v>0</v>
      </c>
      <c r="O76" s="5">
        <v>0</v>
      </c>
      <c r="P76" s="5">
        <v>1</v>
      </c>
      <c r="Q76" s="5">
        <v>1</v>
      </c>
      <c r="R76" s="5">
        <v>1</v>
      </c>
      <c r="S76" s="5">
        <v>1</v>
      </c>
      <c r="T76" s="5">
        <v>3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</row>
    <row r="77" spans="1:25" s="18" customFormat="1" ht="15.75" customHeight="1" x14ac:dyDescent="0.25">
      <c r="A77" s="15">
        <v>20</v>
      </c>
      <c r="B77" s="15">
        <f t="shared" si="1"/>
        <v>0</v>
      </c>
      <c r="C77" s="20" t="s">
        <v>57</v>
      </c>
      <c r="D77" s="17">
        <v>7</v>
      </c>
      <c r="E77" s="17">
        <v>0</v>
      </c>
      <c r="F77" s="17">
        <v>3</v>
      </c>
      <c r="G77" s="17">
        <v>0</v>
      </c>
      <c r="H77" s="17">
        <v>4</v>
      </c>
      <c r="I77" s="17">
        <v>0</v>
      </c>
      <c r="J77" s="17">
        <v>0</v>
      </c>
      <c r="K77" s="17">
        <v>1</v>
      </c>
      <c r="L77" s="17">
        <v>0</v>
      </c>
      <c r="M77" s="17">
        <v>2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2</v>
      </c>
      <c r="U77" s="17">
        <v>1</v>
      </c>
      <c r="V77" s="17">
        <v>0</v>
      </c>
      <c r="W77" s="17">
        <v>0</v>
      </c>
      <c r="X77" s="17">
        <v>0</v>
      </c>
      <c r="Y77" s="17">
        <v>0</v>
      </c>
    </row>
    <row r="78" spans="1:25" ht="15.75" customHeight="1" x14ac:dyDescent="0.25">
      <c r="A78" s="8">
        <v>7</v>
      </c>
      <c r="B78" s="8">
        <f t="shared" si="1"/>
        <v>-3</v>
      </c>
      <c r="C78" s="2" t="s">
        <v>58</v>
      </c>
      <c r="D78" s="5">
        <v>1</v>
      </c>
      <c r="E78" s="5">
        <v>0</v>
      </c>
      <c r="F78" s="5">
        <v>0</v>
      </c>
      <c r="G78" s="5">
        <v>0</v>
      </c>
      <c r="H78" s="5">
        <v>1</v>
      </c>
      <c r="I78" s="5">
        <v>0</v>
      </c>
      <c r="J78" s="5">
        <v>0</v>
      </c>
      <c r="K78" s="5">
        <v>1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1</v>
      </c>
      <c r="R78" s="5">
        <v>1</v>
      </c>
      <c r="S78" s="5">
        <v>0</v>
      </c>
      <c r="T78" s="5">
        <v>3</v>
      </c>
      <c r="U78" s="5">
        <v>2</v>
      </c>
      <c r="V78" s="5">
        <v>0</v>
      </c>
      <c r="W78" s="5">
        <v>0</v>
      </c>
      <c r="X78" s="5">
        <v>0</v>
      </c>
      <c r="Y78" s="5">
        <v>0</v>
      </c>
    </row>
    <row r="79" spans="1:25" ht="15.75" customHeight="1" x14ac:dyDescent="0.25">
      <c r="A79" s="8">
        <v>5</v>
      </c>
      <c r="B79" s="8">
        <f t="shared" si="1"/>
        <v>0</v>
      </c>
      <c r="C79" s="1" t="s">
        <v>59</v>
      </c>
      <c r="D79" s="5">
        <v>0</v>
      </c>
      <c r="E79" s="5">
        <v>1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0</v>
      </c>
      <c r="T79" s="5">
        <v>1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</row>
    <row r="80" spans="1:25" s="18" customFormat="1" ht="15.75" customHeight="1" x14ac:dyDescent="0.25">
      <c r="A80" s="15">
        <v>519</v>
      </c>
      <c r="B80" s="15">
        <f t="shared" si="1"/>
        <v>0</v>
      </c>
      <c r="C80" s="16" t="s">
        <v>98</v>
      </c>
      <c r="D80" s="17">
        <v>0</v>
      </c>
      <c r="E80" s="17">
        <v>0</v>
      </c>
      <c r="F80" s="17">
        <v>0</v>
      </c>
      <c r="G80" s="17">
        <v>0</v>
      </c>
      <c r="H80" s="17">
        <v>86</v>
      </c>
      <c r="I80" s="17">
        <v>0</v>
      </c>
      <c r="J80" s="17">
        <v>0</v>
      </c>
      <c r="K80" s="17">
        <v>60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363</v>
      </c>
      <c r="U80" s="17">
        <v>10</v>
      </c>
      <c r="V80" s="17">
        <v>0</v>
      </c>
      <c r="W80" s="17">
        <v>0</v>
      </c>
      <c r="X80" s="17">
        <v>0</v>
      </c>
      <c r="Y80" s="17">
        <v>0</v>
      </c>
    </row>
    <row r="81" spans="1:25" s="18" customFormat="1" ht="15.75" customHeight="1" x14ac:dyDescent="0.25">
      <c r="A81" s="15">
        <v>0</v>
      </c>
      <c r="B81" s="15">
        <v>0</v>
      </c>
      <c r="C81" s="16" t="s">
        <v>99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</row>
    <row r="82" spans="1:25" s="18" customFormat="1" ht="15.75" customHeight="1" x14ac:dyDescent="0.25">
      <c r="A82" s="15">
        <v>431</v>
      </c>
      <c r="B82" s="15">
        <f t="shared" si="1"/>
        <v>-5</v>
      </c>
      <c r="C82" s="16" t="s">
        <v>60</v>
      </c>
      <c r="D82" s="17">
        <v>0</v>
      </c>
      <c r="E82" s="17">
        <v>0</v>
      </c>
      <c r="F82" s="17">
        <v>0</v>
      </c>
      <c r="G82" s="17">
        <v>0</v>
      </c>
      <c r="H82" s="17">
        <v>86</v>
      </c>
      <c r="I82" s="17">
        <v>0</v>
      </c>
      <c r="J82" s="17">
        <v>0</v>
      </c>
      <c r="K82" s="17">
        <v>71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275</v>
      </c>
      <c r="U82" s="17">
        <v>4</v>
      </c>
      <c r="V82" s="17">
        <v>0</v>
      </c>
      <c r="W82" s="17">
        <v>0</v>
      </c>
      <c r="X82" s="17">
        <v>0</v>
      </c>
      <c r="Y82" s="17">
        <v>0</v>
      </c>
    </row>
    <row r="83" spans="1:25" s="18" customFormat="1" ht="15.75" customHeight="1" x14ac:dyDescent="0.25">
      <c r="A83" s="15">
        <v>0</v>
      </c>
      <c r="B83" s="15">
        <f t="shared" si="1"/>
        <v>0</v>
      </c>
      <c r="C83" s="16" t="s">
        <v>100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</row>
    <row r="84" spans="1:25" s="18" customFormat="1" ht="15.75" customHeight="1" x14ac:dyDescent="0.25">
      <c r="A84" s="15">
        <v>1224</v>
      </c>
      <c r="B84" s="15">
        <f t="shared" si="1"/>
        <v>486</v>
      </c>
      <c r="C84" s="16" t="s">
        <v>61</v>
      </c>
      <c r="D84" s="17">
        <v>0</v>
      </c>
      <c r="E84" s="17">
        <v>0</v>
      </c>
      <c r="F84" s="17">
        <v>0</v>
      </c>
      <c r="G84" s="17">
        <v>0</v>
      </c>
      <c r="H84" s="17">
        <v>81</v>
      </c>
      <c r="I84" s="17">
        <v>0</v>
      </c>
      <c r="J84" s="17">
        <v>0</v>
      </c>
      <c r="K84" s="17">
        <v>55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602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</row>
    <row r="85" spans="1:25" s="18" customFormat="1" ht="15.75" customHeight="1" x14ac:dyDescent="0.25">
      <c r="A85" s="15">
        <v>0</v>
      </c>
      <c r="B85" s="15">
        <f t="shared" si="1"/>
        <v>0</v>
      </c>
      <c r="C85" s="16" t="s">
        <v>101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</row>
    <row r="86" spans="1:25" s="18" customFormat="1" ht="15.75" customHeight="1" x14ac:dyDescent="0.25">
      <c r="A86" s="15">
        <v>80</v>
      </c>
      <c r="B86" s="15">
        <f t="shared" si="1"/>
        <v>-42</v>
      </c>
      <c r="C86" s="16" t="s">
        <v>102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15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107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</row>
    <row r="87" spans="1:25" s="18" customFormat="1" ht="15.75" customHeight="1" x14ac:dyDescent="0.25">
      <c r="A87" s="15">
        <v>107</v>
      </c>
      <c r="B87" s="15">
        <f t="shared" si="1"/>
        <v>0</v>
      </c>
      <c r="C87" s="16" t="s">
        <v>128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107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</row>
    <row r="88" spans="1:25" ht="15.75" customHeight="1" x14ac:dyDescent="0.25">
      <c r="A88" s="8">
        <v>0</v>
      </c>
      <c r="B88" s="8">
        <f t="shared" si="1"/>
        <v>0</v>
      </c>
      <c r="C88" s="1" t="s">
        <v>65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</row>
    <row r="89" spans="1:25" s="18" customFormat="1" ht="15.75" customHeight="1" x14ac:dyDescent="0.25">
      <c r="A89" s="15">
        <v>0</v>
      </c>
      <c r="B89" s="15">
        <f t="shared" si="1"/>
        <v>0</v>
      </c>
      <c r="C89" s="16" t="s">
        <v>66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</row>
    <row r="90" spans="1:25" s="18" customFormat="1" ht="15.75" customHeight="1" x14ac:dyDescent="0.25">
      <c r="A90" s="15">
        <v>0</v>
      </c>
      <c r="B90" s="15">
        <f t="shared" si="1"/>
        <v>0</v>
      </c>
      <c r="C90" s="16" t="s">
        <v>67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</row>
    <row r="91" spans="1:25" s="18" customFormat="1" ht="15.75" customHeight="1" x14ac:dyDescent="0.25">
      <c r="A91" s="15">
        <v>0</v>
      </c>
      <c r="B91" s="15">
        <f t="shared" si="1"/>
        <v>0</v>
      </c>
      <c r="C91" s="16" t="s">
        <v>68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</row>
    <row r="92" spans="1:25" s="18" customFormat="1" ht="15.75" customHeight="1" x14ac:dyDescent="0.25">
      <c r="A92" s="15">
        <v>0</v>
      </c>
      <c r="B92" s="15">
        <f t="shared" si="1"/>
        <v>0</v>
      </c>
      <c r="C92" s="16" t="s">
        <v>69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</row>
    <row r="93" spans="1:25" s="18" customFormat="1" ht="15.75" customHeight="1" x14ac:dyDescent="0.25">
      <c r="A93" s="15">
        <v>110</v>
      </c>
      <c r="B93" s="15">
        <f t="shared" si="1"/>
        <v>0</v>
      </c>
      <c r="C93" s="22" t="s">
        <v>96</v>
      </c>
      <c r="D93" s="17">
        <v>19</v>
      </c>
      <c r="E93" s="17">
        <v>0</v>
      </c>
      <c r="F93" s="17">
        <v>0</v>
      </c>
      <c r="G93" s="17">
        <v>0</v>
      </c>
      <c r="H93" s="17">
        <v>58</v>
      </c>
      <c r="I93" s="17">
        <v>0</v>
      </c>
      <c r="J93" s="17">
        <v>8</v>
      </c>
      <c r="K93" s="17">
        <v>0</v>
      </c>
      <c r="L93" s="17">
        <v>0</v>
      </c>
      <c r="M93" s="17">
        <v>6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13</v>
      </c>
      <c r="U93" s="17">
        <v>6</v>
      </c>
      <c r="V93" s="17">
        <v>0</v>
      </c>
      <c r="W93" s="17">
        <v>0</v>
      </c>
      <c r="X93" s="17">
        <v>0</v>
      </c>
      <c r="Y93" s="17">
        <v>0</v>
      </c>
    </row>
    <row r="94" spans="1:25" s="18" customFormat="1" ht="15.75" customHeight="1" x14ac:dyDescent="0.25">
      <c r="A94" s="15">
        <v>214</v>
      </c>
      <c r="B94" s="15">
        <f t="shared" si="1"/>
        <v>0</v>
      </c>
      <c r="C94" s="22" t="s">
        <v>97</v>
      </c>
      <c r="D94" s="17">
        <v>104</v>
      </c>
      <c r="E94" s="17">
        <v>0</v>
      </c>
      <c r="F94" s="17">
        <v>30</v>
      </c>
      <c r="G94" s="17">
        <v>0</v>
      </c>
      <c r="H94" s="17">
        <v>24</v>
      </c>
      <c r="I94" s="17">
        <v>0</v>
      </c>
      <c r="J94" s="17">
        <v>8</v>
      </c>
      <c r="K94" s="17">
        <v>8</v>
      </c>
      <c r="L94" s="17">
        <v>0</v>
      </c>
      <c r="M94" s="17">
        <v>17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21</v>
      </c>
      <c r="U94" s="17">
        <v>2</v>
      </c>
      <c r="V94" s="17">
        <v>0</v>
      </c>
      <c r="W94" s="17">
        <v>0</v>
      </c>
      <c r="X94" s="17">
        <v>0</v>
      </c>
      <c r="Y94" s="17">
        <v>0</v>
      </c>
    </row>
    <row r="95" spans="1:25" ht="15.75" customHeight="1" x14ac:dyDescent="0.25">
      <c r="A95" s="8">
        <v>12</v>
      </c>
      <c r="B95" s="8">
        <f t="shared" si="1"/>
        <v>0</v>
      </c>
      <c r="C95" s="1" t="s">
        <v>70</v>
      </c>
      <c r="D95" s="5">
        <v>1</v>
      </c>
      <c r="E95" s="5">
        <v>0</v>
      </c>
      <c r="F95" s="5">
        <v>0</v>
      </c>
      <c r="G95" s="5">
        <v>0</v>
      </c>
      <c r="H95" s="5">
        <v>1</v>
      </c>
      <c r="I95" s="5">
        <v>0</v>
      </c>
      <c r="J95" s="5">
        <v>1</v>
      </c>
      <c r="K95" s="5">
        <v>1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1</v>
      </c>
      <c r="R95" s="5">
        <v>0</v>
      </c>
      <c r="S95" s="5">
        <v>1</v>
      </c>
      <c r="T95" s="5">
        <v>1</v>
      </c>
      <c r="U95" s="5">
        <v>5</v>
      </c>
      <c r="V95" s="5">
        <v>0</v>
      </c>
      <c r="W95" s="5">
        <v>0</v>
      </c>
      <c r="X95" s="5">
        <v>0</v>
      </c>
      <c r="Y95" s="5">
        <v>0</v>
      </c>
    </row>
    <row r="96" spans="1:25" s="18" customFormat="1" ht="15.75" customHeight="1" x14ac:dyDescent="0.25">
      <c r="A96" s="15">
        <v>0</v>
      </c>
      <c r="B96" s="15">
        <f t="shared" si="1"/>
        <v>-3</v>
      </c>
      <c r="C96" s="16" t="s">
        <v>71</v>
      </c>
      <c r="D96" s="17">
        <v>1</v>
      </c>
      <c r="E96" s="17">
        <v>0</v>
      </c>
      <c r="F96" s="17">
        <v>1</v>
      </c>
      <c r="G96" s="17">
        <v>0</v>
      </c>
      <c r="H96" s="17">
        <v>0</v>
      </c>
      <c r="I96" s="17">
        <v>0</v>
      </c>
      <c r="J96" s="17">
        <v>0</v>
      </c>
      <c r="K96" s="17">
        <v>1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</row>
    <row r="97" spans="1:25" s="18" customFormat="1" ht="15.75" customHeight="1" x14ac:dyDescent="0.25">
      <c r="A97" s="15">
        <v>3</v>
      </c>
      <c r="B97" s="15">
        <f t="shared" si="1"/>
        <v>0</v>
      </c>
      <c r="C97" s="20" t="s">
        <v>72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3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</row>
    <row r="98" spans="1:25" s="18" customFormat="1" ht="15.75" customHeight="1" x14ac:dyDescent="0.25">
      <c r="A98" s="15">
        <v>5</v>
      </c>
      <c r="B98" s="15">
        <f t="shared" si="1"/>
        <v>0</v>
      </c>
      <c r="C98" s="16" t="s">
        <v>74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5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</row>
    <row r="99" spans="1:25" s="18" customFormat="1" ht="15.75" customHeight="1" x14ac:dyDescent="0.25">
      <c r="A99" s="15">
        <v>18</v>
      </c>
      <c r="B99" s="15">
        <f t="shared" si="1"/>
        <v>0</v>
      </c>
      <c r="C99" s="16" t="s">
        <v>64</v>
      </c>
      <c r="D99" s="17">
        <v>0</v>
      </c>
      <c r="E99" s="17">
        <v>0</v>
      </c>
      <c r="F99" s="17">
        <v>17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1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</row>
    <row r="100" spans="1:25" ht="15.75" customHeight="1" x14ac:dyDescent="0.25">
      <c r="A100" s="8">
        <v>5</v>
      </c>
      <c r="B100" s="8">
        <f t="shared" si="1"/>
        <v>0</v>
      </c>
      <c r="C100" s="1" t="s">
        <v>73</v>
      </c>
      <c r="D100" s="5">
        <v>2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2</v>
      </c>
      <c r="U100" s="5">
        <v>1</v>
      </c>
      <c r="V100" s="5">
        <v>0</v>
      </c>
      <c r="W100" s="5">
        <v>0</v>
      </c>
      <c r="X100" s="5">
        <v>0</v>
      </c>
      <c r="Y100" s="5">
        <v>0</v>
      </c>
    </row>
    <row r="101" spans="1:25" ht="15.75" customHeight="1" x14ac:dyDescent="0.25">
      <c r="A101" s="8">
        <v>15</v>
      </c>
      <c r="B101" s="8">
        <f t="shared" si="1"/>
        <v>0</v>
      </c>
      <c r="C101" s="1" t="s">
        <v>75</v>
      </c>
      <c r="D101" s="5">
        <v>0</v>
      </c>
      <c r="E101" s="5">
        <v>0</v>
      </c>
      <c r="F101" s="5">
        <v>0</v>
      </c>
      <c r="G101" s="5">
        <v>0</v>
      </c>
      <c r="H101" s="5">
        <v>2</v>
      </c>
      <c r="I101" s="5">
        <v>1</v>
      </c>
      <c r="J101" s="5">
        <v>0</v>
      </c>
      <c r="K101" s="5">
        <v>2</v>
      </c>
      <c r="L101" s="5">
        <v>0</v>
      </c>
      <c r="M101" s="5">
        <v>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8</v>
      </c>
      <c r="U101" s="5">
        <v>1</v>
      </c>
      <c r="V101" s="5">
        <v>0</v>
      </c>
      <c r="W101" s="5">
        <v>0</v>
      </c>
      <c r="X101" s="5">
        <v>0</v>
      </c>
      <c r="Y101" s="5">
        <v>0</v>
      </c>
    </row>
    <row r="102" spans="1:25" s="18" customFormat="1" ht="15.75" customHeight="1" x14ac:dyDescent="0.25">
      <c r="A102" s="15">
        <v>126</v>
      </c>
      <c r="B102" s="15">
        <f t="shared" si="1"/>
        <v>0</v>
      </c>
      <c r="C102" s="16" t="s">
        <v>112</v>
      </c>
      <c r="D102" s="17">
        <v>36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90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</row>
    <row r="103" spans="1:25" ht="15.75" customHeight="1" x14ac:dyDescent="0.25">
      <c r="A103" s="8">
        <v>4</v>
      </c>
      <c r="B103" s="8">
        <f t="shared" si="1"/>
        <v>0</v>
      </c>
      <c r="C103" s="1" t="s">
        <v>114</v>
      </c>
      <c r="D103" s="5">
        <v>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1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2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</row>
    <row r="104" spans="1:25" ht="15.75" customHeight="1" x14ac:dyDescent="0.25">
      <c r="A104" s="8">
        <v>3</v>
      </c>
      <c r="B104" s="8">
        <f t="shared" si="1"/>
        <v>0</v>
      </c>
      <c r="C104" s="1" t="s">
        <v>115</v>
      </c>
      <c r="D104" s="5">
        <v>0</v>
      </c>
      <c r="E104" s="5">
        <v>0</v>
      </c>
      <c r="F104" s="5">
        <v>2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1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</row>
    <row r="105" spans="1:25" s="18" customFormat="1" ht="15.75" customHeight="1" x14ac:dyDescent="0.25">
      <c r="A105" s="15">
        <v>22</v>
      </c>
      <c r="B105" s="15">
        <f t="shared" si="1"/>
        <v>0</v>
      </c>
      <c r="C105" s="16" t="s">
        <v>116</v>
      </c>
      <c r="D105" s="17">
        <v>8</v>
      </c>
      <c r="E105" s="17">
        <v>0</v>
      </c>
      <c r="F105" s="17">
        <v>6</v>
      </c>
      <c r="G105" s="17">
        <v>0</v>
      </c>
      <c r="H105" s="17">
        <v>8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</row>
    <row r="106" spans="1:25" ht="15.75" customHeight="1" x14ac:dyDescent="0.25">
      <c r="A106" s="8">
        <v>6</v>
      </c>
      <c r="B106" s="8">
        <f t="shared" si="1"/>
        <v>0</v>
      </c>
      <c r="C106" s="1" t="s">
        <v>121</v>
      </c>
      <c r="D106" s="5">
        <v>1</v>
      </c>
      <c r="E106" s="5">
        <v>1</v>
      </c>
      <c r="F106" s="5">
        <v>0</v>
      </c>
      <c r="G106" s="5">
        <v>0</v>
      </c>
      <c r="H106" s="5">
        <v>0</v>
      </c>
      <c r="I106" s="5">
        <v>1</v>
      </c>
      <c r="J106" s="5">
        <v>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1</v>
      </c>
      <c r="U106" s="5">
        <v>1</v>
      </c>
      <c r="V106" s="5">
        <v>0</v>
      </c>
      <c r="W106" s="5">
        <v>0</v>
      </c>
      <c r="X106" s="5">
        <v>0</v>
      </c>
      <c r="Y106" s="5">
        <v>0</v>
      </c>
    </row>
    <row r="107" spans="1:25" ht="15.75" customHeight="1" x14ac:dyDescent="0.25">
      <c r="A107" s="8">
        <v>1</v>
      </c>
      <c r="B107" s="8">
        <f t="shared" si="1"/>
        <v>0</v>
      </c>
      <c r="C107" s="1" t="s">
        <v>122</v>
      </c>
      <c r="D107" s="5">
        <v>1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</row>
    <row r="108" spans="1:25" ht="15.75" customHeight="1" x14ac:dyDescent="0.25">
      <c r="A108" s="8">
        <v>1</v>
      </c>
      <c r="B108" s="8">
        <f>A108-(D108+E108+F108+H108+J108+K108+L108+M108+N108+O108+T108+U108+V108+W108+X108+G108+P108+Q108+R108+S108+Y108+I108)</f>
        <v>0</v>
      </c>
      <c r="C108" s="1" t="s">
        <v>127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1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</row>
    <row r="109" spans="1:25" s="14" customFormat="1" ht="15.75" customHeight="1" x14ac:dyDescent="0.25">
      <c r="A109" s="12">
        <v>90</v>
      </c>
      <c r="B109" s="12">
        <f>A109-(D109+E109+F109+H109+J109+K109+L109+M109+N109+O109+T109+U109+V109+W109+X109+G109+P109+Q109+R109+S109+Y109+I109)</f>
        <v>20</v>
      </c>
      <c r="C109" s="4" t="s">
        <v>129</v>
      </c>
      <c r="D109" s="13"/>
      <c r="E109" s="13"/>
      <c r="F109" s="13"/>
      <c r="G109" s="13"/>
      <c r="H109" s="13"/>
      <c r="I109" s="13"/>
      <c r="J109" s="13"/>
      <c r="K109" s="13">
        <v>70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1:25" s="14" customFormat="1" ht="15.75" customHeight="1" x14ac:dyDescent="0.25">
      <c r="A110" s="12">
        <v>4</v>
      </c>
      <c r="B110" s="12">
        <f t="shared" ref="B110:B144" si="2">A110-(D110+E110+F110+H110+J110+K110+L110+M110+N110+O110+T110+U110+V110+W110+X110+G110+P110+Q110+R110+S110+Y110+I110)</f>
        <v>4</v>
      </c>
      <c r="C110" s="4" t="s">
        <v>130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1:25" s="14" customFormat="1" ht="15.75" customHeight="1" x14ac:dyDescent="0.25">
      <c r="A111" s="12">
        <v>22</v>
      </c>
      <c r="B111" s="12">
        <f t="shared" si="2"/>
        <v>18</v>
      </c>
      <c r="C111" s="4" t="s">
        <v>131</v>
      </c>
      <c r="D111" s="13"/>
      <c r="E111" s="13"/>
      <c r="F111" s="13"/>
      <c r="G111" s="13"/>
      <c r="H111" s="13"/>
      <c r="I111" s="13"/>
      <c r="J111" s="13"/>
      <c r="K111" s="13">
        <v>4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1:25" s="14" customFormat="1" ht="15.75" customHeight="1" x14ac:dyDescent="0.25">
      <c r="A112" s="12">
        <v>22</v>
      </c>
      <c r="B112" s="12">
        <f t="shared" si="2"/>
        <v>18</v>
      </c>
      <c r="C112" s="4" t="s">
        <v>132</v>
      </c>
      <c r="D112" s="13"/>
      <c r="E112" s="13"/>
      <c r="F112" s="13"/>
      <c r="G112" s="13"/>
      <c r="H112" s="13"/>
      <c r="I112" s="13"/>
      <c r="J112" s="13"/>
      <c r="K112" s="13">
        <v>4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1:24" s="14" customFormat="1" ht="15.75" customHeight="1" x14ac:dyDescent="0.25">
      <c r="A113" s="12">
        <v>22</v>
      </c>
      <c r="B113" s="12">
        <f t="shared" si="2"/>
        <v>0</v>
      </c>
      <c r="C113" s="4" t="s">
        <v>133</v>
      </c>
      <c r="D113" s="13"/>
      <c r="E113" s="13"/>
      <c r="F113" s="13"/>
      <c r="G113" s="13"/>
      <c r="H113" s="13"/>
      <c r="I113" s="13"/>
      <c r="J113" s="13"/>
      <c r="K113" s="13">
        <v>4</v>
      </c>
      <c r="L113" s="13"/>
      <c r="M113" s="13"/>
      <c r="N113" s="13"/>
      <c r="O113" s="13"/>
      <c r="P113" s="13"/>
      <c r="Q113" s="13"/>
      <c r="R113" s="13"/>
      <c r="S113" s="13"/>
      <c r="T113" s="13">
        <v>18</v>
      </c>
      <c r="U113" s="13"/>
      <c r="V113" s="13"/>
      <c r="W113" s="13"/>
      <c r="X113" s="13"/>
    </row>
    <row r="114" spans="1:24" s="14" customFormat="1" ht="15.75" customHeight="1" x14ac:dyDescent="0.25">
      <c r="A114" s="12">
        <v>308</v>
      </c>
      <c r="B114" s="12">
        <f t="shared" si="2"/>
        <v>127</v>
      </c>
      <c r="C114" s="4" t="s">
        <v>134</v>
      </c>
      <c r="D114" s="13"/>
      <c r="E114" s="13"/>
      <c r="F114" s="13"/>
      <c r="G114" s="13"/>
      <c r="H114" s="13"/>
      <c r="I114" s="13"/>
      <c r="J114" s="13"/>
      <c r="K114" s="13">
        <v>113</v>
      </c>
      <c r="L114" s="13"/>
      <c r="M114" s="13"/>
      <c r="N114" s="13"/>
      <c r="O114" s="13"/>
      <c r="P114" s="13"/>
      <c r="Q114" s="13"/>
      <c r="R114" s="13"/>
      <c r="S114" s="13"/>
      <c r="T114" s="13">
        <v>68</v>
      </c>
      <c r="U114" s="13"/>
      <c r="V114" s="13"/>
      <c r="W114" s="13"/>
      <c r="X114" s="13"/>
    </row>
    <row r="115" spans="1:24" s="14" customFormat="1" ht="15.75" customHeight="1" x14ac:dyDescent="0.25">
      <c r="A115" s="12">
        <v>308</v>
      </c>
      <c r="B115" s="12">
        <f t="shared" si="2"/>
        <v>221</v>
      </c>
      <c r="C115" s="4" t="s">
        <v>135</v>
      </c>
      <c r="D115" s="13"/>
      <c r="E115" s="13"/>
      <c r="F115" s="13"/>
      <c r="G115" s="13"/>
      <c r="H115" s="13"/>
      <c r="I115" s="13"/>
      <c r="J115" s="13"/>
      <c r="K115" s="13">
        <v>70</v>
      </c>
      <c r="L115" s="13"/>
      <c r="M115" s="13"/>
      <c r="N115" s="13"/>
      <c r="O115" s="13"/>
      <c r="P115" s="13"/>
      <c r="Q115" s="13"/>
      <c r="R115" s="13"/>
      <c r="S115" s="13"/>
      <c r="T115" s="13">
        <v>17</v>
      </c>
      <c r="U115" s="13"/>
      <c r="V115" s="13"/>
      <c r="W115" s="13"/>
      <c r="X115" s="13"/>
    </row>
    <row r="116" spans="1:24" s="14" customFormat="1" ht="15.75" customHeight="1" x14ac:dyDescent="0.25">
      <c r="A116" s="12">
        <v>36</v>
      </c>
      <c r="B116" s="12">
        <f t="shared" si="2"/>
        <v>36</v>
      </c>
      <c r="C116" s="4" t="s">
        <v>136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1:24" s="14" customFormat="1" ht="15.75" customHeight="1" x14ac:dyDescent="0.25">
      <c r="A117" s="12">
        <v>6</v>
      </c>
      <c r="B117" s="12">
        <f t="shared" si="2"/>
        <v>0</v>
      </c>
      <c r="C117" s="4" t="s">
        <v>137</v>
      </c>
      <c r="D117" s="13"/>
      <c r="E117" s="13"/>
      <c r="F117" s="13"/>
      <c r="G117" s="13"/>
      <c r="H117" s="13"/>
      <c r="I117" s="13"/>
      <c r="J117" s="13"/>
      <c r="K117" s="13">
        <v>6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1:24" s="14" customFormat="1" ht="15.75" customHeight="1" x14ac:dyDescent="0.25">
      <c r="A118" s="12">
        <v>12</v>
      </c>
      <c r="B118" s="12">
        <f t="shared" si="2"/>
        <v>0</v>
      </c>
      <c r="C118" s="4" t="s">
        <v>138</v>
      </c>
      <c r="D118" s="13"/>
      <c r="E118" s="13"/>
      <c r="F118" s="13"/>
      <c r="G118" s="13"/>
      <c r="H118" s="13"/>
      <c r="I118" s="13"/>
      <c r="J118" s="13"/>
      <c r="K118" s="13">
        <v>10</v>
      </c>
      <c r="L118" s="13"/>
      <c r="M118" s="13"/>
      <c r="N118" s="13"/>
      <c r="O118" s="13"/>
      <c r="P118" s="13"/>
      <c r="Q118" s="13"/>
      <c r="R118" s="13"/>
      <c r="S118" s="13"/>
      <c r="T118" s="13">
        <v>2</v>
      </c>
      <c r="U118" s="13"/>
      <c r="V118" s="13"/>
      <c r="W118" s="13"/>
      <c r="X118" s="13"/>
    </row>
    <row r="119" spans="1:24" s="14" customFormat="1" ht="15.75" customHeight="1" x14ac:dyDescent="0.25">
      <c r="A119" s="12">
        <v>8</v>
      </c>
      <c r="B119" s="12">
        <f t="shared" si="2"/>
        <v>0</v>
      </c>
      <c r="C119" s="4" t="s">
        <v>139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>
        <v>8</v>
      </c>
      <c r="U119" s="13"/>
      <c r="V119" s="13"/>
      <c r="W119" s="13"/>
      <c r="X119" s="13"/>
    </row>
    <row r="120" spans="1:24" s="14" customFormat="1" ht="15.75" customHeight="1" x14ac:dyDescent="0.25">
      <c r="A120" s="12">
        <v>42</v>
      </c>
      <c r="B120" s="12">
        <f t="shared" si="2"/>
        <v>0</v>
      </c>
      <c r="C120" s="4" t="s">
        <v>140</v>
      </c>
      <c r="D120" s="13"/>
      <c r="E120" s="13"/>
      <c r="F120" s="13"/>
      <c r="G120" s="13"/>
      <c r="H120" s="13"/>
      <c r="I120" s="13"/>
      <c r="J120" s="13"/>
      <c r="K120" s="13">
        <v>26</v>
      </c>
      <c r="L120" s="13"/>
      <c r="M120" s="13"/>
      <c r="N120" s="13"/>
      <c r="O120" s="13"/>
      <c r="P120" s="13"/>
      <c r="Q120" s="13"/>
      <c r="R120" s="13"/>
      <c r="S120" s="13"/>
      <c r="T120" s="13">
        <v>16</v>
      </c>
      <c r="U120" s="13"/>
      <c r="V120" s="13"/>
      <c r="W120" s="13"/>
      <c r="X120" s="13"/>
    </row>
    <row r="121" spans="1:24" s="14" customFormat="1" ht="15.75" customHeight="1" x14ac:dyDescent="0.25">
      <c r="A121" s="12">
        <v>175</v>
      </c>
      <c r="B121" s="12">
        <f t="shared" si="2"/>
        <v>62</v>
      </c>
      <c r="C121" s="4" t="s">
        <v>141</v>
      </c>
      <c r="D121" s="13"/>
      <c r="E121" s="13"/>
      <c r="F121" s="13"/>
      <c r="G121" s="13"/>
      <c r="H121" s="13"/>
      <c r="I121" s="13"/>
      <c r="J121" s="13"/>
      <c r="K121" s="13">
        <v>113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1:24" s="14" customFormat="1" ht="15.75" customHeight="1" x14ac:dyDescent="0.25">
      <c r="A122" s="12">
        <v>2</v>
      </c>
      <c r="B122" s="12">
        <f t="shared" si="2"/>
        <v>0</v>
      </c>
      <c r="C122" s="4" t="s">
        <v>142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>
        <v>2</v>
      </c>
      <c r="U122" s="13"/>
      <c r="V122" s="13"/>
      <c r="W122" s="13"/>
      <c r="X122" s="13"/>
    </row>
    <row r="123" spans="1:24" s="14" customFormat="1" ht="15.75" customHeight="1" x14ac:dyDescent="0.25">
      <c r="A123" s="12">
        <v>10</v>
      </c>
      <c r="B123" s="12">
        <f t="shared" si="2"/>
        <v>6</v>
      </c>
      <c r="C123" s="4" t="s">
        <v>143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>
        <v>4</v>
      </c>
      <c r="U123" s="13"/>
      <c r="V123" s="13"/>
      <c r="W123" s="13"/>
      <c r="X123" s="13"/>
    </row>
    <row r="124" spans="1:24" s="14" customFormat="1" ht="15.75" customHeight="1" x14ac:dyDescent="0.25">
      <c r="A124" s="12">
        <v>6</v>
      </c>
      <c r="B124" s="12">
        <f t="shared" si="2"/>
        <v>0</v>
      </c>
      <c r="C124" s="4" t="s">
        <v>144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>
        <v>6</v>
      </c>
      <c r="U124" s="13"/>
      <c r="V124" s="13"/>
      <c r="W124" s="13"/>
      <c r="X124" s="13"/>
    </row>
    <row r="125" spans="1:24" s="14" customFormat="1" ht="15.75" customHeight="1" x14ac:dyDescent="0.25">
      <c r="A125" s="12">
        <v>112</v>
      </c>
      <c r="B125" s="12">
        <f t="shared" si="2"/>
        <v>3</v>
      </c>
      <c r="C125" s="4" t="s">
        <v>145</v>
      </c>
      <c r="D125" s="13"/>
      <c r="E125" s="13"/>
      <c r="F125" s="13"/>
      <c r="G125" s="13"/>
      <c r="H125" s="13"/>
      <c r="I125" s="13"/>
      <c r="J125" s="13"/>
      <c r="K125" s="13">
        <v>50</v>
      </c>
      <c r="L125" s="13"/>
      <c r="M125" s="13"/>
      <c r="N125" s="13"/>
      <c r="O125" s="13"/>
      <c r="P125" s="13"/>
      <c r="Q125" s="13"/>
      <c r="R125" s="13"/>
      <c r="S125" s="13"/>
      <c r="T125" s="13">
        <v>59</v>
      </c>
      <c r="U125" s="13"/>
      <c r="V125" s="13"/>
      <c r="W125" s="13"/>
      <c r="X125" s="13"/>
    </row>
    <row r="126" spans="1:24" s="14" customFormat="1" ht="15.75" customHeight="1" x14ac:dyDescent="0.25">
      <c r="A126" s="12">
        <v>2</v>
      </c>
      <c r="B126" s="12">
        <f t="shared" si="2"/>
        <v>2</v>
      </c>
      <c r="C126" s="4" t="s">
        <v>146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1:24" s="14" customFormat="1" ht="15.75" customHeight="1" x14ac:dyDescent="0.25">
      <c r="A127" s="12">
        <v>2</v>
      </c>
      <c r="B127" s="12">
        <f t="shared" si="2"/>
        <v>0</v>
      </c>
      <c r="C127" s="4" t="s">
        <v>147</v>
      </c>
      <c r="D127" s="13"/>
      <c r="E127" s="13"/>
      <c r="F127" s="13"/>
      <c r="G127" s="13"/>
      <c r="H127" s="13"/>
      <c r="I127" s="13"/>
      <c r="J127" s="13"/>
      <c r="K127" s="13">
        <v>2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1:24" s="14" customFormat="1" ht="15.75" customHeight="1" x14ac:dyDescent="0.25">
      <c r="A128" s="12">
        <v>12</v>
      </c>
      <c r="B128" s="12">
        <f t="shared" si="2"/>
        <v>0</v>
      </c>
      <c r="C128" s="4" t="s">
        <v>148</v>
      </c>
      <c r="D128" s="13"/>
      <c r="E128" s="13"/>
      <c r="F128" s="13"/>
      <c r="G128" s="13"/>
      <c r="H128" s="13"/>
      <c r="I128" s="13"/>
      <c r="J128" s="13"/>
      <c r="K128" s="13">
        <v>12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1:24" s="14" customFormat="1" ht="15.75" customHeight="1" x14ac:dyDescent="0.25">
      <c r="A129" s="12">
        <v>90</v>
      </c>
      <c r="B129" s="12">
        <f t="shared" si="2"/>
        <v>0</v>
      </c>
      <c r="C129" s="4" t="s">
        <v>149</v>
      </c>
      <c r="D129" s="13"/>
      <c r="E129" s="13"/>
      <c r="F129" s="13"/>
      <c r="G129" s="13"/>
      <c r="H129" s="13"/>
      <c r="I129" s="13"/>
      <c r="J129" s="13"/>
      <c r="K129" s="13">
        <v>90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1:24" s="14" customFormat="1" ht="15.75" customHeight="1" x14ac:dyDescent="0.25">
      <c r="A130" s="12">
        <v>4</v>
      </c>
      <c r="B130" s="12">
        <f t="shared" si="2"/>
        <v>0</v>
      </c>
      <c r="C130" s="4" t="s">
        <v>150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>
        <v>4</v>
      </c>
      <c r="U130" s="13"/>
      <c r="V130" s="13"/>
      <c r="W130" s="13"/>
      <c r="X130" s="13"/>
    </row>
    <row r="131" spans="1:24" s="14" customFormat="1" ht="15.75" customHeight="1" x14ac:dyDescent="0.25">
      <c r="A131" s="12">
        <v>8</v>
      </c>
      <c r="B131" s="12">
        <f t="shared" si="2"/>
        <v>0</v>
      </c>
      <c r="C131" s="4" t="s">
        <v>151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>
        <v>8</v>
      </c>
      <c r="U131" s="13"/>
      <c r="V131" s="13"/>
      <c r="W131" s="13"/>
      <c r="X131" s="13"/>
    </row>
    <row r="132" spans="1:24" s="14" customFormat="1" ht="15.75" customHeight="1" x14ac:dyDescent="0.25">
      <c r="A132" s="12">
        <v>10</v>
      </c>
      <c r="B132" s="12">
        <f t="shared" si="2"/>
        <v>0</v>
      </c>
      <c r="C132" s="4" t="s">
        <v>152</v>
      </c>
      <c r="D132" s="13"/>
      <c r="E132" s="13"/>
      <c r="F132" s="13">
        <v>4</v>
      </c>
      <c r="G132" s="13"/>
      <c r="H132" s="13">
        <v>4</v>
      </c>
      <c r="I132" s="13"/>
      <c r="J132" s="13"/>
      <c r="K132" s="13">
        <v>2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1:24" ht="15.75" customHeight="1" x14ac:dyDescent="0.25">
      <c r="B133" s="8">
        <f t="shared" si="2"/>
        <v>0</v>
      </c>
      <c r="C133" s="1"/>
    </row>
    <row r="134" spans="1:24" ht="15.75" customHeight="1" x14ac:dyDescent="0.25">
      <c r="A134" s="8">
        <v>3</v>
      </c>
      <c r="B134" s="8">
        <f t="shared" si="2"/>
        <v>3</v>
      </c>
      <c r="C134" s="1" t="s">
        <v>153</v>
      </c>
    </row>
    <row r="135" spans="1:24" ht="15.75" customHeight="1" x14ac:dyDescent="0.25">
      <c r="A135" s="8">
        <v>2</v>
      </c>
      <c r="B135" s="8">
        <f t="shared" si="2"/>
        <v>2</v>
      </c>
      <c r="C135" s="16" t="s">
        <v>154</v>
      </c>
    </row>
    <row r="136" spans="1:24" ht="15.75" customHeight="1" x14ac:dyDescent="0.25">
      <c r="A136" s="8">
        <v>1</v>
      </c>
      <c r="B136" s="8">
        <f t="shared" si="2"/>
        <v>1</v>
      </c>
      <c r="C136" s="16" t="s">
        <v>155</v>
      </c>
    </row>
    <row r="137" spans="1:24" ht="15.75" customHeight="1" x14ac:dyDescent="0.25">
      <c r="A137" s="8">
        <v>2</v>
      </c>
      <c r="B137" s="8">
        <f t="shared" si="2"/>
        <v>2</v>
      </c>
      <c r="C137" s="16" t="s">
        <v>157</v>
      </c>
    </row>
    <row r="138" spans="1:24" ht="15.75" customHeight="1" x14ac:dyDescent="0.25">
      <c r="A138" s="8">
        <v>1</v>
      </c>
      <c r="B138" s="8">
        <f t="shared" si="2"/>
        <v>1</v>
      </c>
      <c r="C138" s="16" t="s">
        <v>156</v>
      </c>
    </row>
    <row r="139" spans="1:24" ht="15.75" customHeight="1" x14ac:dyDescent="0.25">
      <c r="B139" s="8">
        <f t="shared" si="2"/>
        <v>0</v>
      </c>
      <c r="C139" s="1"/>
    </row>
    <row r="140" spans="1:24" ht="15.75" customHeight="1" x14ac:dyDescent="0.25">
      <c r="B140" s="8">
        <f t="shared" si="2"/>
        <v>0</v>
      </c>
      <c r="C140" s="1"/>
    </row>
    <row r="141" spans="1:24" ht="15.75" customHeight="1" x14ac:dyDescent="0.25">
      <c r="B141" s="8">
        <f t="shared" si="2"/>
        <v>0</v>
      </c>
      <c r="C141" s="1"/>
    </row>
    <row r="142" spans="1:24" ht="15.75" customHeight="1" x14ac:dyDescent="0.25">
      <c r="B142" s="8">
        <f t="shared" si="2"/>
        <v>0</v>
      </c>
      <c r="C142" s="1"/>
    </row>
    <row r="143" spans="1:24" ht="15.75" customHeight="1" x14ac:dyDescent="0.25">
      <c r="B143" s="8">
        <f t="shared" si="2"/>
        <v>0</v>
      </c>
      <c r="C143" s="1"/>
    </row>
    <row r="144" spans="1:24" ht="15.75" customHeight="1" x14ac:dyDescent="0.25">
      <c r="B144" s="8">
        <f t="shared" si="2"/>
        <v>0</v>
      </c>
    </row>
  </sheetData>
  <autoFilter ref="A1:X101" xr:uid="{00000000-0009-0000-0000-000001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3510-A1C3-4EF8-838F-CD16249A08E2}">
  <dimension ref="G14:G15"/>
  <sheetViews>
    <sheetView workbookViewId="0">
      <selection activeCell="G16" sqref="G16"/>
    </sheetView>
  </sheetViews>
  <sheetFormatPr baseColWidth="10" defaultRowHeight="15" x14ac:dyDescent="0.25"/>
  <sheetData>
    <row r="14" spans="7:7" x14ac:dyDescent="0.25">
      <c r="G14">
        <f>195-127</f>
        <v>68</v>
      </c>
    </row>
    <row r="15" spans="7:7" x14ac:dyDescent="0.25">
      <c r="G15">
        <f>238-221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CANTIDADES TOTALES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BernardoC</dc:creator>
  <cp:lastModifiedBy>BernardoC</cp:lastModifiedBy>
  <cp:lastPrinted>2022-05-26T18:44:12Z</cp:lastPrinted>
  <dcterms:created xsi:type="dcterms:W3CDTF">2019-01-24T01:37:26Z</dcterms:created>
  <dcterms:modified xsi:type="dcterms:W3CDTF">2025-09-01T13:14:20Z</dcterms:modified>
</cp:coreProperties>
</file>